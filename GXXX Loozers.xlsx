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NG2\Desktop\Documents\Golfapalooza\Golfapalooza 2026\"/>
    </mc:Choice>
  </mc:AlternateContent>
  <xr:revisionPtr revIDLastSave="0" documentId="13_ncr:1_{20FC7A0B-B11C-439C-91A1-093EDE4D3A8C}" xr6:coauthVersionLast="47" xr6:coauthVersionMax="47" xr10:uidLastSave="{00000000-0000-0000-0000-000000000000}"/>
  <bookViews>
    <workbookView xWindow="-120" yWindow="-120" windowWidth="29040" windowHeight="15840" tabRatio="599" activeTab="5" xr2:uid="{00000000-000D-0000-FFFF-FFFF00000000}"/>
  </bookViews>
  <sheets>
    <sheet name="Mailing list" sheetId="1" r:id="rId1"/>
    <sheet name="Options" sheetId="3" r:id="rId2"/>
    <sheet name="venmo" sheetId="11" r:id="rId3"/>
    <sheet name="GFFL" sheetId="9" r:id="rId4"/>
    <sheet name="moonshine" sheetId="10" r:id="rId5"/>
    <sheet name="balances" sheetId="13" r:id="rId6"/>
  </sheets>
  <definedNames>
    <definedName name="Contacts">'Mailing list'!$C$1:$C$54</definedName>
    <definedName name="_xlnm.Print_Area" localSheetId="0">'Mailing list'!$A$1:$I$67</definedName>
    <definedName name="_xlnm.Print_Area" localSheetId="1">Options!$A$1:$X$77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3" i="13" l="1"/>
  <c r="O41" i="13"/>
  <c r="B41" i="13"/>
  <c r="R41" i="13" s="1"/>
  <c r="B6" i="13"/>
  <c r="R68" i="13"/>
  <c r="B44" i="13"/>
  <c r="B29" i="13"/>
  <c r="B7" i="13"/>
  <c r="B38" i="13"/>
  <c r="B24" i="13"/>
  <c r="P44" i="13"/>
  <c r="P7" i="13"/>
  <c r="P21" i="13"/>
  <c r="B11" i="10"/>
  <c r="B8" i="10"/>
  <c r="B7" i="10"/>
  <c r="C53" i="13"/>
  <c r="C38" i="13"/>
  <c r="C24" i="13"/>
  <c r="B13" i="13"/>
  <c r="C13" i="13"/>
  <c r="C6" i="13"/>
  <c r="C39" i="13"/>
  <c r="C29" i="13"/>
  <c r="C27" i="13"/>
  <c r="R27" i="13" s="1"/>
  <c r="T27" i="13" s="1"/>
  <c r="B58" i="13"/>
  <c r="B20" i="13"/>
  <c r="R20" i="13" s="1"/>
  <c r="T20" i="13" s="1"/>
  <c r="B55" i="13"/>
  <c r="B48" i="13"/>
  <c r="R48" i="13" s="1"/>
  <c r="T48" i="13" s="1"/>
  <c r="D48" i="13"/>
  <c r="B34" i="13"/>
  <c r="R34" i="13" s="1"/>
  <c r="T34" i="13" s="1"/>
  <c r="B32" i="13"/>
  <c r="Q14" i="13"/>
  <c r="Q24" i="13"/>
  <c r="B14" i="13"/>
  <c r="D21" i="13"/>
  <c r="B9" i="13"/>
  <c r="B23" i="13"/>
  <c r="B26" i="13"/>
  <c r="R26" i="13" s="1"/>
  <c r="T26" i="13" s="1"/>
  <c r="D17" i="13"/>
  <c r="B17" i="13"/>
  <c r="R9" i="13"/>
  <c r="T9" i="13" s="1"/>
  <c r="B3" i="13"/>
  <c r="R3" i="13" s="1"/>
  <c r="D31" i="13"/>
  <c r="B31" i="13"/>
  <c r="R31" i="13" s="1"/>
  <c r="R23" i="13"/>
  <c r="T23" i="13" s="1"/>
  <c r="D32" i="13"/>
  <c r="D47" i="13"/>
  <c r="C47" i="13"/>
  <c r="B47" i="13"/>
  <c r="D26" i="13"/>
  <c r="D38" i="13"/>
  <c r="B42" i="13"/>
  <c r="R42" i="13" s="1"/>
  <c r="T42" i="13" s="1"/>
  <c r="D11" i="13"/>
  <c r="B11" i="13"/>
  <c r="R39" i="13"/>
  <c r="T39" i="13" s="1"/>
  <c r="R21" i="13"/>
  <c r="T21" i="13" s="1"/>
  <c r="D14" i="13"/>
  <c r="D7" i="13"/>
  <c r="R55" i="13"/>
  <c r="T55" i="13" s="1"/>
  <c r="AE66" i="13"/>
  <c r="AD66" i="13"/>
  <c r="AC66" i="13"/>
  <c r="R58" i="13"/>
  <c r="S56" i="13"/>
  <c r="Q56" i="13"/>
  <c r="O56" i="13"/>
  <c r="N56" i="13"/>
  <c r="M56" i="13"/>
  <c r="L56" i="13"/>
  <c r="K56" i="13"/>
  <c r="I56" i="13"/>
  <c r="H56" i="13"/>
  <c r="G56" i="13"/>
  <c r="F56" i="13"/>
  <c r="E56" i="13"/>
  <c r="R54" i="13"/>
  <c r="T54" i="13" s="1"/>
  <c r="AF53" i="13"/>
  <c r="AE53" i="13"/>
  <c r="AD53" i="13"/>
  <c r="AC53" i="13"/>
  <c r="R52" i="13"/>
  <c r="R51" i="13"/>
  <c r="T51" i="13" s="1"/>
  <c r="R50" i="13"/>
  <c r="R49" i="13"/>
  <c r="R46" i="13"/>
  <c r="T46" i="13" s="1"/>
  <c r="R45" i="13"/>
  <c r="T45" i="13" s="1"/>
  <c r="R43" i="13"/>
  <c r="R12" i="13"/>
  <c r="R40" i="13"/>
  <c r="T40" i="13" s="1"/>
  <c r="R37" i="13"/>
  <c r="T37" i="13" s="1"/>
  <c r="B36" i="13"/>
  <c r="R36" i="13" s="1"/>
  <c r="R35" i="13"/>
  <c r="T35" i="13" s="1"/>
  <c r="R33" i="13"/>
  <c r="T33" i="13" s="1"/>
  <c r="R30" i="13"/>
  <c r="R28" i="13"/>
  <c r="R25" i="13"/>
  <c r="R22" i="13"/>
  <c r="R19" i="13"/>
  <c r="B18" i="13"/>
  <c r="R18" i="13" s="1"/>
  <c r="R16" i="13"/>
  <c r="R15" i="13"/>
  <c r="R10" i="13"/>
  <c r="T10" i="13" s="1"/>
  <c r="R8" i="13"/>
  <c r="R5" i="13"/>
  <c r="R4" i="13"/>
  <c r="AD39" i="9"/>
  <c r="S19" i="9"/>
  <c r="Q19" i="9"/>
  <c r="S18" i="9"/>
  <c r="Q18" i="9"/>
  <c r="Q17" i="9"/>
  <c r="S17" i="9" s="1"/>
  <c r="Q16" i="9"/>
  <c r="S16" i="9" s="1"/>
  <c r="Q15" i="9"/>
  <c r="S15" i="9" s="1"/>
  <c r="Q14" i="9"/>
  <c r="S14" i="9" s="1"/>
  <c r="S13" i="9"/>
  <c r="Q13" i="9"/>
  <c r="S12" i="9"/>
  <c r="Q12" i="9"/>
  <c r="Q11" i="9"/>
  <c r="S11" i="9" s="1"/>
  <c r="S10" i="9"/>
  <c r="Q10" i="9"/>
  <c r="Q9" i="9"/>
  <c r="S9" i="9" s="1"/>
  <c r="Q8" i="9"/>
  <c r="S8" i="9" s="1"/>
  <c r="R53" i="13" l="1"/>
  <c r="T53" i="13" s="1"/>
  <c r="R6" i="13"/>
  <c r="T6" i="13" s="1"/>
  <c r="R38" i="13"/>
  <c r="T38" i="13" s="1"/>
  <c r="P56" i="13"/>
  <c r="J56" i="13"/>
  <c r="R17" i="13"/>
  <c r="T17" i="13" s="1"/>
  <c r="R13" i="13"/>
  <c r="T13" i="13" s="1"/>
  <c r="R47" i="13"/>
  <c r="T47" i="13" s="1"/>
  <c r="R14" i="13"/>
  <c r="T14" i="13" s="1"/>
  <c r="R24" i="13"/>
  <c r="T24" i="13" s="1"/>
  <c r="R44" i="13"/>
  <c r="T44" i="13" s="1"/>
  <c r="R32" i="13"/>
  <c r="R11" i="13"/>
  <c r="R29" i="13"/>
  <c r="T29" i="13" s="1"/>
  <c r="D56" i="13"/>
  <c r="C56" i="13"/>
  <c r="B56" i="13"/>
  <c r="R7" i="13"/>
  <c r="T7" i="13" s="1"/>
  <c r="S21" i="9"/>
  <c r="T56" i="13" l="1"/>
  <c r="R56" i="13"/>
  <c r="R66" i="13" s="1"/>
  <c r="R70" i="13" s="1"/>
  <c r="E67" i="3" l="1"/>
  <c r="R67" i="3"/>
  <c r="V67" i="3"/>
  <c r="U67" i="3"/>
  <c r="W57" i="3"/>
  <c r="W58" i="3"/>
  <c r="E58" i="1" s="1"/>
  <c r="Z76" i="3"/>
  <c r="Z78" i="3" s="1"/>
  <c r="G58" i="1" l="1"/>
  <c r="I58" i="1" s="1"/>
  <c r="E57" i="1"/>
  <c r="A57" i="3"/>
  <c r="G57" i="1" l="1"/>
  <c r="I57" i="1" s="1"/>
  <c r="T76" i="3" l="1"/>
  <c r="W30" i="3"/>
  <c r="E30" i="1" s="1"/>
  <c r="G30" i="1" s="1"/>
  <c r="T67" i="3" l="1"/>
  <c r="T78" i="3" s="1"/>
  <c r="W5" i="3"/>
  <c r="E5" i="1" s="1"/>
  <c r="G5" i="1" s="1"/>
  <c r="C5" i="3"/>
  <c r="B5" i="3"/>
  <c r="A5" i="3"/>
  <c r="W50" i="3" l="1"/>
  <c r="E50" i="1" s="1"/>
  <c r="G50" i="1" s="1"/>
  <c r="W32" i="3"/>
  <c r="E32" i="1" s="1"/>
  <c r="W36" i="3"/>
  <c r="E36" i="1" s="1"/>
  <c r="G36" i="1" s="1"/>
  <c r="B36" i="3"/>
  <c r="G32" i="1" l="1"/>
  <c r="I32" i="1" s="1"/>
  <c r="AA77" i="3"/>
  <c r="D13" i="10" l="1"/>
  <c r="F13" i="10" s="1"/>
  <c r="C11" i="10" l="1"/>
  <c r="E15" i="10"/>
  <c r="C14" i="10"/>
  <c r="C12" i="10"/>
  <c r="C10" i="10"/>
  <c r="C9" i="10"/>
  <c r="C8" i="10"/>
  <c r="C7" i="10"/>
  <c r="C6" i="10"/>
  <c r="C5" i="10"/>
  <c r="D11" i="10" l="1"/>
  <c r="F11" i="10" s="1"/>
  <c r="D12" i="10"/>
  <c r="F12" i="10" s="1"/>
  <c r="C15" i="10"/>
  <c r="D5" i="10"/>
  <c r="F5" i="10" s="1"/>
  <c r="D9" i="10"/>
  <c r="F9" i="10" s="1"/>
  <c r="D8" i="10"/>
  <c r="F8" i="10" s="1"/>
  <c r="B15" i="10"/>
  <c r="D10" i="10"/>
  <c r="F10" i="10" s="1"/>
  <c r="D14" i="10"/>
  <c r="F14" i="10" s="1"/>
  <c r="D6" i="10"/>
  <c r="F6" i="10" s="1"/>
  <c r="D7" i="10"/>
  <c r="F7" i="10" s="1"/>
  <c r="W55" i="3"/>
  <c r="E55" i="1" s="1"/>
  <c r="G55" i="1" s="1"/>
  <c r="B55" i="3"/>
  <c r="A55" i="3"/>
  <c r="F15" i="10" l="1"/>
  <c r="F19" i="10" s="1"/>
  <c r="D15" i="10"/>
  <c r="W53" i="3"/>
  <c r="E53" i="1" s="1"/>
  <c r="G53" i="1" s="1"/>
  <c r="W52" i="3"/>
  <c r="E52" i="1" s="1"/>
  <c r="G52" i="1" s="1"/>
  <c r="W8" i="3"/>
  <c r="E8" i="1" s="1"/>
  <c r="G8" i="1" s="1"/>
  <c r="S76" i="3"/>
  <c r="S67" i="3"/>
  <c r="W64" i="3"/>
  <c r="E64" i="1" s="1"/>
  <c r="G64" i="1" s="1"/>
  <c r="W45" i="3"/>
  <c r="E45" i="1" s="1"/>
  <c r="G45" i="1" s="1"/>
  <c r="C45" i="3"/>
  <c r="B45" i="3"/>
  <c r="S78" i="3" l="1"/>
  <c r="W33" i="3" l="1"/>
  <c r="W26" i="3"/>
  <c r="B26" i="3"/>
  <c r="A26" i="3"/>
  <c r="W11" i="3"/>
  <c r="W63" i="3"/>
  <c r="B63" i="3"/>
  <c r="W9" i="3"/>
  <c r="W22" i="3"/>
  <c r="W4" i="3"/>
  <c r="I5" i="1" s="1"/>
  <c r="E11" i="1" l="1"/>
  <c r="G11" i="1" s="1"/>
  <c r="E9" i="1"/>
  <c r="G9" i="1" s="1"/>
  <c r="E63" i="1"/>
  <c r="G63" i="1" s="1"/>
  <c r="E26" i="1"/>
  <c r="G26" i="1" s="1"/>
  <c r="E4" i="1"/>
  <c r="G4" i="1" s="1"/>
  <c r="E22" i="1"/>
  <c r="G22" i="1" s="1"/>
  <c r="E33" i="1"/>
  <c r="G33" i="1" s="1"/>
  <c r="W21" i="3"/>
  <c r="E21" i="1" l="1"/>
  <c r="G21" i="1" s="1"/>
  <c r="W42" i="3"/>
  <c r="B42" i="3"/>
  <c r="W23" i="3"/>
  <c r="E23" i="1" s="1"/>
  <c r="G23" i="1" s="1"/>
  <c r="I23" i="1" s="1"/>
  <c r="E42" i="1" l="1"/>
  <c r="G42" i="1" s="1"/>
  <c r="I21" i="1"/>
  <c r="I22" i="1"/>
  <c r="L67" i="3" l="1"/>
  <c r="I67" i="3"/>
  <c r="F67" i="3"/>
  <c r="B20" i="3" l="1"/>
  <c r="C20" i="3"/>
  <c r="W60" i="3" l="1"/>
  <c r="W61" i="3"/>
  <c r="B62" i="3"/>
  <c r="K67" i="3" l="1"/>
  <c r="Q67" i="3" l="1"/>
  <c r="P67" i="3" l="1"/>
  <c r="B46" i="3" l="1"/>
  <c r="W46" i="3"/>
  <c r="E46" i="1" s="1"/>
  <c r="G46" i="1" s="1"/>
  <c r="B43" i="3"/>
  <c r="C43" i="3"/>
  <c r="B44" i="3"/>
  <c r="C44" i="3"/>
  <c r="B47" i="3"/>
  <c r="C47" i="3"/>
  <c r="B48" i="3"/>
  <c r="C48" i="3"/>
  <c r="B49" i="3"/>
  <c r="C49" i="3"/>
  <c r="B51" i="3"/>
  <c r="C51" i="3"/>
  <c r="B54" i="3"/>
  <c r="C54" i="3"/>
  <c r="B56" i="3"/>
  <c r="C56" i="3"/>
  <c r="B59" i="3"/>
  <c r="C59" i="3"/>
  <c r="B60" i="3"/>
  <c r="C60" i="3"/>
  <c r="B61" i="3"/>
  <c r="C61" i="3"/>
  <c r="B65" i="3"/>
  <c r="C65" i="3"/>
  <c r="C3" i="3"/>
  <c r="C7" i="3"/>
  <c r="C10" i="3"/>
  <c r="C12" i="3"/>
  <c r="C13" i="3"/>
  <c r="C14" i="3"/>
  <c r="C16" i="3"/>
  <c r="C17" i="3"/>
  <c r="C18" i="3"/>
  <c r="C19" i="3"/>
  <c r="C24" i="3"/>
  <c r="C25" i="3"/>
  <c r="C27" i="3"/>
  <c r="C28" i="3"/>
  <c r="C29" i="3"/>
  <c r="C34" i="3"/>
  <c r="C35" i="3"/>
  <c r="C37" i="3"/>
  <c r="C38" i="3"/>
  <c r="C39" i="3"/>
  <c r="C40" i="3"/>
  <c r="C41" i="3"/>
  <c r="B3" i="3"/>
  <c r="B7" i="3"/>
  <c r="B10" i="3"/>
  <c r="B12" i="3"/>
  <c r="B13" i="3"/>
  <c r="B14" i="3"/>
  <c r="B15" i="3"/>
  <c r="B16" i="3"/>
  <c r="B17" i="3"/>
  <c r="B18" i="3"/>
  <c r="B19" i="3"/>
  <c r="B24" i="3"/>
  <c r="B25" i="3"/>
  <c r="B27" i="3"/>
  <c r="B28" i="3"/>
  <c r="B29" i="3"/>
  <c r="B34" i="3"/>
  <c r="B35" i="3"/>
  <c r="B37" i="3"/>
  <c r="B38" i="3"/>
  <c r="B39" i="3"/>
  <c r="B40" i="3"/>
  <c r="I46" i="1" l="1"/>
  <c r="E61" i="1" l="1"/>
  <c r="G61" i="1" s="1"/>
  <c r="I61" i="1" l="1"/>
  <c r="W19" i="3" l="1"/>
  <c r="E19" i="1" s="1"/>
  <c r="G19" i="1" s="1"/>
  <c r="H67" i="3" l="1"/>
  <c r="W31" i="3" l="1"/>
  <c r="W29" i="3"/>
  <c r="E31" i="1" l="1"/>
  <c r="G31" i="1" s="1"/>
  <c r="I30" i="1"/>
  <c r="E29" i="1"/>
  <c r="G29" i="1" s="1"/>
  <c r="W49" i="3"/>
  <c r="W16" i="3" l="1"/>
  <c r="W65" i="3" l="1"/>
  <c r="E60" i="1"/>
  <c r="G60" i="1" s="1"/>
  <c r="I64" i="1" l="1"/>
  <c r="E65" i="1"/>
  <c r="G65" i="1" s="1"/>
  <c r="I63" i="1"/>
  <c r="Q76" i="3"/>
  <c r="Q78" i="3" s="1"/>
  <c r="W12" i="3"/>
  <c r="W27" i="3"/>
  <c r="A27" i="3"/>
  <c r="E27" i="1" l="1"/>
  <c r="G27" i="1" s="1"/>
  <c r="I26" i="1"/>
  <c r="E12" i="1"/>
  <c r="G12" i="1" s="1"/>
  <c r="I31" i="1"/>
  <c r="W73" i="3"/>
  <c r="Y73" i="3" s="1"/>
  <c r="AA73" i="3" s="1"/>
  <c r="AC73" i="3" s="1"/>
  <c r="W72" i="3"/>
  <c r="Y72" i="3" s="1"/>
  <c r="AA72" i="3" s="1"/>
  <c r="AC72" i="3" s="1"/>
  <c r="V76" i="3"/>
  <c r="R76" i="3"/>
  <c r="R78" i="3" s="1"/>
  <c r="U76" i="3"/>
  <c r="O76" i="3"/>
  <c r="O67" i="3"/>
  <c r="N67" i="3"/>
  <c r="W14" i="3"/>
  <c r="W56" i="3"/>
  <c r="I53" i="1" s="1"/>
  <c r="W35" i="3"/>
  <c r="W3" i="3"/>
  <c r="W6" i="3"/>
  <c r="W7" i="3"/>
  <c r="I8" i="1" s="1"/>
  <c r="W10" i="3"/>
  <c r="W13" i="3"/>
  <c r="W15" i="3"/>
  <c r="E16" i="1"/>
  <c r="G16" i="1" s="1"/>
  <c r="W48" i="3"/>
  <c r="W24" i="3"/>
  <c r="W25" i="3"/>
  <c r="W28" i="3"/>
  <c r="W34" i="3"/>
  <c r="W37" i="3"/>
  <c r="I36" i="1" s="1"/>
  <c r="W38" i="3"/>
  <c r="E38" i="1" s="1"/>
  <c r="G38" i="1" s="1"/>
  <c r="W39" i="3"/>
  <c r="W40" i="3"/>
  <c r="W41" i="3"/>
  <c r="W43" i="3"/>
  <c r="W44" i="3"/>
  <c r="W47" i="3"/>
  <c r="W17" i="3"/>
  <c r="E17" i="1" s="1"/>
  <c r="G17" i="1" s="1"/>
  <c r="E49" i="1"/>
  <c r="G49" i="1" s="1"/>
  <c r="W51" i="3"/>
  <c r="I50" i="1" s="1"/>
  <c r="W54" i="3"/>
  <c r="W59" i="3"/>
  <c r="W18" i="3"/>
  <c r="E18" i="1" s="1"/>
  <c r="G18" i="1" s="1"/>
  <c r="D66" i="1"/>
  <c r="M67" i="3"/>
  <c r="J67" i="3"/>
  <c r="G67" i="3"/>
  <c r="W70" i="3"/>
  <c r="Y70" i="3" s="1"/>
  <c r="AA70" i="3" s="1"/>
  <c r="AC70" i="3" s="1"/>
  <c r="W71" i="3"/>
  <c r="Y71" i="3" s="1"/>
  <c r="AA71" i="3" s="1"/>
  <c r="AC71" i="3" s="1"/>
  <c r="W74" i="3"/>
  <c r="Y74" i="3" s="1"/>
  <c r="AA74" i="3" s="1"/>
  <c r="AC74" i="3" s="1"/>
  <c r="E76" i="3"/>
  <c r="F76" i="3"/>
  <c r="F78" i="3" s="1"/>
  <c r="G76" i="3"/>
  <c r="H76" i="3"/>
  <c r="H78" i="3" s="1"/>
  <c r="I76" i="3"/>
  <c r="I78" i="3" s="1"/>
  <c r="J76" i="3"/>
  <c r="K76" i="3"/>
  <c r="K78" i="3" s="1"/>
  <c r="L76" i="3"/>
  <c r="L78" i="3" s="1"/>
  <c r="M76" i="3"/>
  <c r="N76" i="3"/>
  <c r="A15" i="3"/>
  <c r="J1" i="3"/>
  <c r="A28" i="3"/>
  <c r="A56" i="3"/>
  <c r="A59" i="3"/>
  <c r="H1" i="3"/>
  <c r="K1" i="3"/>
  <c r="B41" i="3"/>
  <c r="A41" i="3"/>
  <c r="A7" i="3"/>
  <c r="A14" i="3"/>
  <c r="A16" i="3"/>
  <c r="A24" i="3"/>
  <c r="A25" i="3"/>
  <c r="A35" i="3"/>
  <c r="A37" i="3"/>
  <c r="A51" i="3"/>
  <c r="A54" i="3"/>
  <c r="A60" i="3"/>
  <c r="M1" i="3"/>
  <c r="I2" i="3"/>
  <c r="L2" i="3" s="1"/>
  <c r="J2" i="3"/>
  <c r="M2" i="3" s="1"/>
  <c r="G1" i="3"/>
  <c r="AC76" i="3" l="1"/>
  <c r="AC78" i="3" s="1"/>
  <c r="AA76" i="3"/>
  <c r="AA78" i="3" s="1"/>
  <c r="I52" i="1"/>
  <c r="I55" i="1"/>
  <c r="E44" i="1"/>
  <c r="I45" i="1"/>
  <c r="E48" i="1"/>
  <c r="E39" i="1"/>
  <c r="E7" i="1"/>
  <c r="E47" i="1"/>
  <c r="E43" i="1"/>
  <c r="E59" i="1"/>
  <c r="E54" i="1"/>
  <c r="E35" i="1"/>
  <c r="G35" i="1" s="1"/>
  <c r="E13" i="1"/>
  <c r="E56" i="1"/>
  <c r="E15" i="1"/>
  <c r="E37" i="1"/>
  <c r="E51" i="1"/>
  <c r="E14" i="1"/>
  <c r="I11" i="1"/>
  <c r="E34" i="1"/>
  <c r="I33" i="1"/>
  <c r="E10" i="1"/>
  <c r="I9" i="1"/>
  <c r="E3" i="1"/>
  <c r="G3" i="1" s="1"/>
  <c r="I4" i="1"/>
  <c r="Y76" i="3"/>
  <c r="Y78" i="3" s="1"/>
  <c r="E41" i="1"/>
  <c r="G41" i="1" s="1"/>
  <c r="I42" i="1"/>
  <c r="E24" i="1"/>
  <c r="G24" i="1" s="1"/>
  <c r="I29" i="1"/>
  <c r="I49" i="1"/>
  <c r="I18" i="1"/>
  <c r="G78" i="3"/>
  <c r="O78" i="3"/>
  <c r="N78" i="3"/>
  <c r="I12" i="1"/>
  <c r="E25" i="1"/>
  <c r="I27" i="1"/>
  <c r="W76" i="3"/>
  <c r="I38" i="1"/>
  <c r="E6" i="1"/>
  <c r="I16" i="1"/>
  <c r="M78" i="3"/>
  <c r="J78" i="3"/>
  <c r="E78" i="3"/>
  <c r="I65" i="1"/>
  <c r="G7" i="1" l="1"/>
  <c r="I7" i="1" s="1"/>
  <c r="G59" i="1"/>
  <c r="I59" i="1" s="1"/>
  <c r="G43" i="1"/>
  <c r="I43" i="1" s="1"/>
  <c r="G34" i="1"/>
  <c r="I34" i="1" s="1"/>
  <c r="G14" i="1"/>
  <c r="I14" i="1" s="1"/>
  <c r="G48" i="1"/>
  <c r="I48" i="1" s="1"/>
  <c r="G47" i="1"/>
  <c r="I47" i="1" s="1"/>
  <c r="G39" i="1"/>
  <c r="I39" i="1" s="1"/>
  <c r="I24" i="1"/>
  <c r="G51" i="1"/>
  <c r="I51" i="1" s="1"/>
  <c r="G37" i="1"/>
  <c r="I37" i="1" s="1"/>
  <c r="G15" i="1"/>
  <c r="I15" i="1" s="1"/>
  <c r="G13" i="1"/>
  <c r="I13" i="1" s="1"/>
  <c r="G6" i="1"/>
  <c r="I6" i="1" s="1"/>
  <c r="G44" i="1"/>
  <c r="I44" i="1" s="1"/>
  <c r="G10" i="1"/>
  <c r="I10" i="1" s="1"/>
  <c r="G56" i="1"/>
  <c r="I56" i="1" s="1"/>
  <c r="G25" i="1"/>
  <c r="I25" i="1" s="1"/>
  <c r="G54" i="1"/>
  <c r="I54" i="1" s="1"/>
  <c r="I3" i="1"/>
  <c r="I17" i="1"/>
  <c r="I41" i="1" l="1"/>
  <c r="I60" i="1"/>
  <c r="W20" i="3"/>
  <c r="I19" i="1" s="1"/>
  <c r="E20" i="1" l="1"/>
  <c r="G20" i="1" s="1"/>
  <c r="I20" i="1" l="1"/>
  <c r="H66" i="1"/>
  <c r="I35" i="1"/>
  <c r="W62" i="3" l="1"/>
  <c r="W67" i="3" l="1"/>
  <c r="Y67" i="3" s="1"/>
  <c r="E62" i="1"/>
  <c r="G62" i="1" s="1"/>
  <c r="E66" i="1" l="1"/>
  <c r="E67" i="1" s="1"/>
  <c r="G66" i="1" l="1"/>
  <c r="I62" i="1"/>
  <c r="I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tc={845BB543-E96A-4E09-BE57-3A5C742A6E9F}</author>
  </authors>
  <commentList>
    <comment ref="P38" authorId="0" shapeId="0" xr:uid="{845BB543-E96A-4E09-BE57-3A5C742A6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from Venmo balance</t>
      </text>
    </comment>
  </commentList>
</comments>
</file>

<file path=xl/sharedStrings.xml><?xml version="1.0" encoding="utf-8"?>
<sst xmlns="http://schemas.openxmlformats.org/spreadsheetml/2006/main" count="485" uniqueCount="240">
  <si>
    <t>FirstName</t>
  </si>
  <si>
    <t>LastName</t>
  </si>
  <si>
    <t>Thomas</t>
  </si>
  <si>
    <t>Greg</t>
  </si>
  <si>
    <t>Dieterle</t>
  </si>
  <si>
    <t>Brian</t>
  </si>
  <si>
    <t>Flanagan</t>
  </si>
  <si>
    <t>Brent</t>
  </si>
  <si>
    <t>Kaniecki</t>
  </si>
  <si>
    <t>Mark</t>
  </si>
  <si>
    <t>Long</t>
  </si>
  <si>
    <t>Mike</t>
  </si>
  <si>
    <t>Jason</t>
  </si>
  <si>
    <t>James</t>
  </si>
  <si>
    <t>Watson</t>
  </si>
  <si>
    <t>Eric</t>
  </si>
  <si>
    <t>Sponsor</t>
  </si>
  <si>
    <t>Gstan</t>
  </si>
  <si>
    <t>Sheik</t>
  </si>
  <si>
    <t>Butter</t>
  </si>
  <si>
    <t>Garrett</t>
  </si>
  <si>
    <t>Amount due</t>
  </si>
  <si>
    <t>Paid</t>
  </si>
  <si>
    <t>Balance</t>
  </si>
  <si>
    <t>Blankenburg</t>
  </si>
  <si>
    <t>Jeff</t>
  </si>
  <si>
    <t xml:space="preserve">Total </t>
  </si>
  <si>
    <t>Thursday</t>
  </si>
  <si>
    <t>Skins</t>
  </si>
  <si>
    <t>Par 3</t>
  </si>
  <si>
    <t>Friday</t>
  </si>
  <si>
    <t>Saturday</t>
  </si>
  <si>
    <t>Entered</t>
  </si>
  <si>
    <t>Apparel</t>
  </si>
  <si>
    <t>Total</t>
  </si>
  <si>
    <t>Boland</t>
  </si>
  <si>
    <t>Patch</t>
  </si>
  <si>
    <t>Pat</t>
  </si>
  <si>
    <t>Lyme</t>
  </si>
  <si>
    <t>Brett</t>
  </si>
  <si>
    <t>Team</t>
  </si>
  <si>
    <t>MELC</t>
  </si>
  <si>
    <t>JT</t>
  </si>
  <si>
    <t>Carlstrom</t>
  </si>
  <si>
    <t>Montgomery</t>
  </si>
  <si>
    <t>Quack</t>
  </si>
  <si>
    <t>White</t>
  </si>
  <si>
    <t>Aaron</t>
  </si>
  <si>
    <t>Sokos</t>
  </si>
  <si>
    <t>Gus</t>
  </si>
  <si>
    <t>Schoellman</t>
  </si>
  <si>
    <t>Walt</t>
  </si>
  <si>
    <t xml:space="preserve">100 ft. </t>
  </si>
  <si>
    <t>Syzmonski</t>
  </si>
  <si>
    <t>Bill</t>
  </si>
  <si>
    <t>Miller</t>
  </si>
  <si>
    <t>Christian</t>
  </si>
  <si>
    <t>Chef</t>
  </si>
  <si>
    <t>Dosky</t>
  </si>
  <si>
    <t>Rick</t>
  </si>
  <si>
    <t>Jon</t>
  </si>
  <si>
    <t>Pagett</t>
  </si>
  <si>
    <t>Ken</t>
  </si>
  <si>
    <t>Moore</t>
  </si>
  <si>
    <t>McFarland</t>
  </si>
  <si>
    <t>Don</t>
  </si>
  <si>
    <t>Randy</t>
  </si>
  <si>
    <t>Marshall</t>
  </si>
  <si>
    <t>Al</t>
  </si>
  <si>
    <t>Spanky</t>
  </si>
  <si>
    <t>Green</t>
  </si>
  <si>
    <t>Bro</t>
  </si>
  <si>
    <t>Killer</t>
  </si>
  <si>
    <t>Whitey</t>
  </si>
  <si>
    <t>Melick</t>
  </si>
  <si>
    <t>Stan</t>
  </si>
  <si>
    <t>Combs</t>
  </si>
  <si>
    <t>Adam</t>
  </si>
  <si>
    <t>Bro LD</t>
  </si>
  <si>
    <t>Bro LP</t>
  </si>
  <si>
    <t>Ronnie</t>
  </si>
  <si>
    <t>Alford</t>
  </si>
  <si>
    <t>Kyle</t>
  </si>
  <si>
    <t>Monte</t>
  </si>
  <si>
    <t>Kassap</t>
  </si>
  <si>
    <t>Grant</t>
  </si>
  <si>
    <t>Greene</t>
  </si>
  <si>
    <t>Practice</t>
  </si>
  <si>
    <t>Round</t>
  </si>
  <si>
    <t>Ronell</t>
  </si>
  <si>
    <t>KGB</t>
  </si>
  <si>
    <t>Young</t>
  </si>
  <si>
    <t>Real Stan</t>
  </si>
  <si>
    <t>BoMan</t>
  </si>
  <si>
    <t>Kid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</si>
  <si>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</si>
  <si>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</si>
  <si>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</si>
  <si>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</si>
  <si>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</si>
  <si>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</si>
  <si>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</si>
  <si>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</si>
  <si>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</si>
  <si>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</si>
  <si>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</si>
  <si>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</si>
  <si>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</si>
  <si>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Playoffs</t>
  </si>
  <si>
    <t>Mullins</t>
  </si>
  <si>
    <t>Kevin</t>
  </si>
  <si>
    <t>Honey</t>
  </si>
  <si>
    <t>Dave</t>
  </si>
  <si>
    <t>Granata</t>
  </si>
  <si>
    <t>Joe</t>
  </si>
  <si>
    <t>Palazzolo</t>
  </si>
  <si>
    <t>Sal</t>
  </si>
  <si>
    <t>Spyder</t>
  </si>
  <si>
    <t>Weekly payouts</t>
  </si>
  <si>
    <t>Jackson</t>
  </si>
  <si>
    <t>Scott</t>
  </si>
  <si>
    <t>Dan</t>
  </si>
  <si>
    <t>Everybody</t>
  </si>
  <si>
    <t>Hagelberger</t>
  </si>
  <si>
    <t>Caleb</t>
  </si>
  <si>
    <t>Bartlett</t>
  </si>
  <si>
    <t>Stacy</t>
  </si>
  <si>
    <t>Matthew</t>
  </si>
  <si>
    <t>Sensei</t>
  </si>
  <si>
    <t>Kelly</t>
  </si>
  <si>
    <t>Hood</t>
  </si>
  <si>
    <t>Buckey</t>
  </si>
  <si>
    <t>Cobleigh</t>
  </si>
  <si>
    <t>Wayne</t>
  </si>
  <si>
    <t>Jack</t>
  </si>
  <si>
    <t>BDubs</t>
  </si>
  <si>
    <t>Fun Dan</t>
  </si>
  <si>
    <t>Mini Orange Push-Up</t>
  </si>
  <si>
    <t>Jars</t>
  </si>
  <si>
    <t>Lids</t>
  </si>
  <si>
    <t>Tax</t>
  </si>
  <si>
    <t>Tip</t>
  </si>
  <si>
    <t>Kurt</t>
  </si>
  <si>
    <t>Padre</t>
  </si>
  <si>
    <t>Yost</t>
  </si>
  <si>
    <t>Lodge</t>
  </si>
  <si>
    <t>Tuesday</t>
  </si>
  <si>
    <t>Monday</t>
  </si>
  <si>
    <t>Options</t>
  </si>
  <si>
    <t>Brown</t>
  </si>
  <si>
    <t>Miles</t>
  </si>
  <si>
    <t>Langdon</t>
  </si>
  <si>
    <t>Matt</t>
  </si>
  <si>
    <t>Sullivan</t>
  </si>
  <si>
    <t>Choc Milk</t>
  </si>
  <si>
    <t>Root beer float</t>
  </si>
  <si>
    <t>Sizeten</t>
  </si>
  <si>
    <t>Cdubs</t>
  </si>
  <si>
    <t>Choc PB</t>
  </si>
  <si>
    <t>Sheiker</t>
  </si>
  <si>
    <t>pd</t>
  </si>
  <si>
    <t>Other</t>
  </si>
  <si>
    <t>PickEm</t>
  </si>
  <si>
    <t>Colton</t>
  </si>
  <si>
    <t>Slick/Gsta</t>
  </si>
  <si>
    <t>Bender</t>
  </si>
  <si>
    <t>Kellas</t>
  </si>
  <si>
    <t>Tom</t>
  </si>
  <si>
    <t>Alf</t>
  </si>
  <si>
    <t>Shane</t>
  </si>
  <si>
    <t>Toth</t>
  </si>
  <si>
    <t>Michael</t>
  </si>
  <si>
    <t>Shields</t>
  </si>
  <si>
    <t>Kierner</t>
  </si>
  <si>
    <t>Washington</t>
  </si>
  <si>
    <t>Daron</t>
  </si>
  <si>
    <t>High points</t>
  </si>
  <si>
    <t>Week 14</t>
  </si>
  <si>
    <t>Total Weeks</t>
  </si>
  <si>
    <t>1st</t>
  </si>
  <si>
    <t>2nd</t>
  </si>
  <si>
    <t>3rd</t>
  </si>
  <si>
    <t>4th</t>
  </si>
  <si>
    <t>Super Bowl</t>
  </si>
  <si>
    <t>NCAA</t>
  </si>
  <si>
    <t>BDubs NCAA</t>
  </si>
  <si>
    <t>Misc To/From</t>
  </si>
  <si>
    <t>GXXV</t>
  </si>
  <si>
    <t>GXXX</t>
  </si>
  <si>
    <t>GFFL</t>
  </si>
  <si>
    <t>NFL Weekly</t>
  </si>
  <si>
    <t>Knockout 1</t>
  </si>
  <si>
    <t>Knockout 2</t>
  </si>
  <si>
    <t>Knockout 3</t>
  </si>
  <si>
    <t>Block Pool</t>
  </si>
  <si>
    <t xml:space="preserve">G SB Pool </t>
  </si>
  <si>
    <t>Bro SB Pool</t>
  </si>
  <si>
    <t>Knockout</t>
  </si>
  <si>
    <t>BroMadness</t>
  </si>
  <si>
    <t xml:space="preserve"> Squares</t>
  </si>
  <si>
    <t>Bracket</t>
  </si>
  <si>
    <t>Payments</t>
  </si>
  <si>
    <t>Carryover</t>
  </si>
  <si>
    <t>Black Doug</t>
  </si>
  <si>
    <t>Bubba</t>
  </si>
  <si>
    <t>CDubs</t>
  </si>
  <si>
    <t>Colt 45</t>
  </si>
  <si>
    <t>Daniel-san</t>
  </si>
  <si>
    <t>Double G</t>
  </si>
  <si>
    <t>Grandpa Al</t>
  </si>
  <si>
    <t>GStan</t>
  </si>
  <si>
    <t>Hammer</t>
  </si>
  <si>
    <t>J Mo</t>
  </si>
  <si>
    <t>Kid Rock</t>
  </si>
  <si>
    <t>Long-O</t>
  </si>
  <si>
    <t>Meat / Beef</t>
  </si>
  <si>
    <t>Minardi</t>
  </si>
  <si>
    <t>Monte Jr</t>
  </si>
  <si>
    <t>Dr. Sal</t>
  </si>
  <si>
    <t>Scoots</t>
  </si>
  <si>
    <t>Sleepy</t>
  </si>
  <si>
    <t>Spnaky</t>
  </si>
  <si>
    <t>Sully</t>
  </si>
  <si>
    <t>Uncle Mark</t>
  </si>
  <si>
    <t>VJ</t>
  </si>
  <si>
    <t>Whitey Jr</t>
  </si>
  <si>
    <t>Winthorp</t>
  </si>
  <si>
    <t>GXXX trip fund</t>
  </si>
  <si>
    <t>1366 Weybridge Rd</t>
  </si>
  <si>
    <t>Columbus OH 43220</t>
  </si>
  <si>
    <t>Wilson</t>
  </si>
  <si>
    <t>server</t>
  </si>
  <si>
    <t>cash</t>
  </si>
  <si>
    <t>Cerrano</t>
  </si>
  <si>
    <t>LT</t>
  </si>
  <si>
    <t>Lucky</t>
  </si>
  <si>
    <t>Monkey</t>
  </si>
  <si>
    <t>Debby</t>
  </si>
  <si>
    <t>Cash needed</t>
  </si>
  <si>
    <t>in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</si>
</sst>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MS Sans Serif"/>
    </font>
    <font>
      <sz val="12"/>
      <name val="Times New Roman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41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0" xfId="0" applyNumberFormat="1"/>
    <xf numFmtId="16" fontId="2" fillId="0" borderId="0" xfId="0" applyNumberFormat="1" applyFont="1"/>
    <xf numFmtId="14" fontId="2" fillId="0" borderId="0" xfId="0" applyNumberFormat="1" applyFont="1"/>
    <xf numFmtId="0" fontId="3" fillId="0" borderId="0" xfId="1"/>
    <xf numFmtId="41" fontId="3" fillId="0" borderId="0" xfId="1" applyNumberFormat="1"/>
    <xf numFmtId="0" fontId="5" fillId="0" borderId="0" xfId="2" applyFont="1"/>
    <xf numFmtId="0" fontId="5" fillId="0" borderId="1" xfId="2" applyFont="1" applyBorder="1" applyAlignment="1">
      <alignment horizontal="center"/>
    </xf>
    <xf numFmtId="41" fontId="5" fillId="0" borderId="0" xfId="2" applyNumberFormat="1" applyFont="1"/>
    <xf numFmtId="41" fontId="5" fillId="2" borderId="0" xfId="2" applyNumberFormat="1" applyFont="1" applyFill="1"/>
    <xf numFmtId="41" fontId="5" fillId="0" borderId="1" xfId="2" applyNumberFormat="1" applyFont="1" applyBorder="1"/>
    <xf numFmtId="41" fontId="5" fillId="2" borderId="1" xfId="2" applyNumberFormat="1" applyFont="1" applyFill="1" applyBorder="1"/>
    <xf numFmtId="0" fontId="5" fillId="0" borderId="0" xfId="2" applyFont="1" applyAlignment="1">
      <alignment horizontal="center"/>
    </xf>
    <xf numFmtId="41" fontId="5" fillId="3" borderId="0" xfId="2" applyNumberFormat="1" applyFont="1" applyFill="1"/>
    <xf numFmtId="0" fontId="5" fillId="0" borderId="1" xfId="2" applyFont="1" applyBorder="1"/>
    <xf numFmtId="14" fontId="5" fillId="0" borderId="0" xfId="2" applyNumberFormat="1" applyFont="1"/>
    <xf numFmtId="41" fontId="5" fillId="4" borderId="0" xfId="2" applyNumberFormat="1" applyFont="1" applyFill="1"/>
    <xf numFmtId="41" fontId="5" fillId="4" borderId="1" xfId="2" applyNumberFormat="1" applyFont="1" applyFill="1" applyBorder="1"/>
  </cellXfs>
  <cellStyles count="3">
    <cellStyle name="Normal" xfId="0" builtinId="0"/>
    <cellStyle name="Normal 2" xfId="1" xr:uid="{9CD40F27-7F3D-4D05-B9D8-191E28EA6580}"/>
    <cellStyle name="Normal 3" xfId="2" xr:uid="{91A969D3-C0FA-41D8-9D87-9A238846387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 Long" id="{A30CF5FD-0F71-497E-8323-1B4B01E789B8}" userId="0bc2e28e40e6035a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8" dT="2026-02-09T19:04:07.60" personId="{A30CF5FD-0F71-497E-8323-1B4B01E789B8}" id="{845BB543-E96A-4E09-BE57-3A5C742A6E9F}">
    <text>Paid from Venmo balance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zoomScaleNormal="100" zoomScaleSheetLayoutView="100" workbookViewId="0">
      <pane xSplit="3" ySplit="1" topLeftCell="D2" activePane="bottomRight" state="frozen"/>
      <selection activeCell="Z77" sqref="Z77"/>
      <selection pane="topRight" activeCell="Z77" sqref="Z77"/>
      <selection pane="bottomLeft" activeCell="Z77" sqref="Z77"/>
      <selection pane="bottomRight" activeCell="H43" sqref="H43"/>
    </sheetView>
  </sheetViews>
  <sheetFormatPr defaultRowHeight="12.75" x14ac:dyDescent="0.2"/>
  <cols>
    <col min="1" max="1" width="9.28515625" style="2" customWidth="1"/>
    <col min="2" max="2" width="12.7109375" style="2" customWidth="1"/>
    <col min="3" max="3" width="11.42578125" style="2" bestFit="1" customWidth="1"/>
    <col min="4" max="4" width="12.85546875" style="2" bestFit="1" customWidth="1"/>
    <col min="5" max="5" width="10.7109375" style="2" bestFit="1" customWidth="1"/>
    <col min="6" max="6" width="0" style="2" hidden="1" customWidth="1"/>
    <col min="7" max="16384" width="9.140625" style="2"/>
  </cols>
  <sheetData>
    <row r="1" spans="1:11" ht="14.25" customHeight="1" x14ac:dyDescent="0.2">
      <c r="A1" s="1" t="s">
        <v>16</v>
      </c>
      <c r="B1" s="1" t="s">
        <v>1</v>
      </c>
      <c r="C1" s="1" t="s">
        <v>0</v>
      </c>
      <c r="D1" s="1" t="s">
        <v>21</v>
      </c>
      <c r="E1" s="3" t="s">
        <v>148</v>
      </c>
      <c r="F1" s="1" t="s">
        <v>33</v>
      </c>
      <c r="G1" s="3" t="s">
        <v>26</v>
      </c>
      <c r="H1" s="3" t="s">
        <v>22</v>
      </c>
      <c r="I1" s="1" t="s">
        <v>23</v>
      </c>
      <c r="J1" s="1"/>
      <c r="K1" s="1"/>
    </row>
    <row r="2" spans="1:11" ht="14.25" customHeight="1" x14ac:dyDescent="0.2">
      <c r="A2" s="1"/>
      <c r="B2" s="1"/>
      <c r="C2" s="1"/>
    </row>
    <row r="3" spans="1:11" hidden="1" x14ac:dyDescent="0.2">
      <c r="A3" s="2" t="s">
        <v>71</v>
      </c>
      <c r="B3" s="2" t="s">
        <v>81</v>
      </c>
      <c r="C3" s="2" t="s">
        <v>82</v>
      </c>
      <c r="D3" s="7"/>
      <c r="E3" s="7">
        <f>+Options!W3</f>
        <v>0</v>
      </c>
      <c r="F3" s="7"/>
      <c r="G3" s="7">
        <f t="shared" ref="G3:G27" si="0">SUM(D3:F3)</f>
        <v>0</v>
      </c>
      <c r="H3" s="7"/>
      <c r="I3" s="7">
        <f t="shared" ref="I3:I27" si="1">+G3-H3</f>
        <v>0</v>
      </c>
    </row>
    <row r="4" spans="1:11" hidden="1" x14ac:dyDescent="0.2">
      <c r="A4" s="2" t="s">
        <v>18</v>
      </c>
      <c r="B4" s="2" t="s">
        <v>125</v>
      </c>
      <c r="C4" s="2" t="s">
        <v>126</v>
      </c>
      <c r="D4" s="7"/>
      <c r="E4" s="7">
        <f>+Options!W4</f>
        <v>0</v>
      </c>
      <c r="F4" s="7"/>
      <c r="G4" s="7">
        <f t="shared" si="0"/>
        <v>0</v>
      </c>
      <c r="H4" s="7"/>
      <c r="I4" s="7">
        <f t="shared" si="1"/>
        <v>0</v>
      </c>
    </row>
    <row r="5" spans="1:11" x14ac:dyDescent="0.2">
      <c r="A5" s="2" t="s">
        <v>4</v>
      </c>
      <c r="B5" s="2" t="s">
        <v>24</v>
      </c>
      <c r="C5" s="2" t="s">
        <v>25</v>
      </c>
      <c r="D5" s="7"/>
      <c r="E5" s="7">
        <f>+Options!W5</f>
        <v>0</v>
      </c>
      <c r="F5" s="7"/>
      <c r="G5" s="7">
        <f t="shared" si="0"/>
        <v>0</v>
      </c>
      <c r="H5" s="7"/>
      <c r="I5" s="7">
        <f t="shared" si="1"/>
        <v>0</v>
      </c>
    </row>
    <row r="6" spans="1:11" hidden="1" x14ac:dyDescent="0.2">
      <c r="A6" s="2" t="s">
        <v>164</v>
      </c>
      <c r="B6" s="2" t="s">
        <v>165</v>
      </c>
      <c r="C6" s="2" t="s">
        <v>82</v>
      </c>
      <c r="D6" s="7"/>
      <c r="E6" s="7">
        <f>+Options!W6</f>
        <v>0</v>
      </c>
      <c r="F6" s="7"/>
      <c r="G6" s="7">
        <f t="shared" si="0"/>
        <v>0</v>
      </c>
      <c r="H6" s="7"/>
      <c r="I6" s="7">
        <f t="shared" si="1"/>
        <v>0</v>
      </c>
    </row>
    <row r="7" spans="1:11" x14ac:dyDescent="0.2">
      <c r="A7" s="2" t="s">
        <v>36</v>
      </c>
      <c r="B7" s="2" t="s">
        <v>35</v>
      </c>
      <c r="C7" s="2" t="s">
        <v>37</v>
      </c>
      <c r="D7" s="7"/>
      <c r="E7" s="7">
        <f>+Options!W7</f>
        <v>0</v>
      </c>
      <c r="F7" s="7"/>
      <c r="G7" s="7">
        <f t="shared" si="0"/>
        <v>0</v>
      </c>
      <c r="H7" s="7"/>
      <c r="I7" s="7">
        <f t="shared" si="1"/>
        <v>0</v>
      </c>
    </row>
    <row r="8" spans="1:11" hidden="1" x14ac:dyDescent="0.2">
      <c r="A8" s="2" t="s">
        <v>17</v>
      </c>
      <c r="B8" s="2" t="s">
        <v>149</v>
      </c>
      <c r="C8" s="2" t="s">
        <v>150</v>
      </c>
      <c r="D8" s="7"/>
      <c r="E8" s="7">
        <f>+Options!W8</f>
        <v>0</v>
      </c>
      <c r="F8" s="7"/>
      <c r="G8" s="7">
        <f t="shared" si="0"/>
        <v>0</v>
      </c>
      <c r="H8" s="7"/>
      <c r="I8" s="7">
        <f t="shared" si="1"/>
        <v>0</v>
      </c>
    </row>
    <row r="9" spans="1:11" x14ac:dyDescent="0.2">
      <c r="A9" s="2" t="s">
        <v>130</v>
      </c>
      <c r="B9" s="2" t="s">
        <v>131</v>
      </c>
      <c r="C9" s="2" t="s">
        <v>121</v>
      </c>
      <c r="D9" s="7"/>
      <c r="E9" s="7">
        <f>+Options!W9</f>
        <v>0</v>
      </c>
      <c r="F9" s="7"/>
      <c r="G9" s="7">
        <f t="shared" si="0"/>
        <v>0</v>
      </c>
      <c r="H9" s="7"/>
      <c r="I9" s="7">
        <f t="shared" si="1"/>
        <v>0</v>
      </c>
    </row>
    <row r="10" spans="1:11" x14ac:dyDescent="0.2">
      <c r="A10" s="2" t="s">
        <v>42</v>
      </c>
      <c r="B10" s="2" t="s">
        <v>43</v>
      </c>
      <c r="C10" s="2" t="s">
        <v>5</v>
      </c>
      <c r="D10" s="7"/>
      <c r="E10" s="7">
        <f>+Options!W10</f>
        <v>0</v>
      </c>
      <c r="F10" s="7"/>
      <c r="G10" s="7">
        <f t="shared" si="0"/>
        <v>0</v>
      </c>
      <c r="H10" s="7"/>
      <c r="I10" s="7">
        <f t="shared" si="1"/>
        <v>0</v>
      </c>
    </row>
    <row r="11" spans="1:11" hidden="1" x14ac:dyDescent="0.2">
      <c r="A11" s="2" t="s">
        <v>49</v>
      </c>
      <c r="B11" s="2" t="s">
        <v>132</v>
      </c>
      <c r="C11" s="2" t="s">
        <v>133</v>
      </c>
      <c r="D11" s="7"/>
      <c r="E11" s="7">
        <f>+Options!W11</f>
        <v>0</v>
      </c>
      <c r="F11" s="7"/>
      <c r="G11" s="7">
        <f t="shared" si="0"/>
        <v>0</v>
      </c>
      <c r="H11" s="7"/>
      <c r="I11" s="7">
        <f t="shared" si="1"/>
        <v>0</v>
      </c>
    </row>
    <row r="12" spans="1:11" x14ac:dyDescent="0.2">
      <c r="A12" s="2" t="s">
        <v>73</v>
      </c>
      <c r="B12" s="2" t="s">
        <v>76</v>
      </c>
      <c r="C12" s="2" t="s">
        <v>77</v>
      </c>
      <c r="D12" s="7"/>
      <c r="E12" s="7">
        <f>+Options!W12</f>
        <v>0</v>
      </c>
      <c r="F12" s="7"/>
      <c r="G12" s="7">
        <f t="shared" si="0"/>
        <v>0</v>
      </c>
      <c r="H12" s="7"/>
      <c r="I12" s="7">
        <f t="shared" si="1"/>
        <v>0</v>
      </c>
    </row>
    <row r="13" spans="1:11" x14ac:dyDescent="0.2">
      <c r="A13" s="2" t="s">
        <v>19</v>
      </c>
      <c r="B13" s="2" t="s">
        <v>58</v>
      </c>
      <c r="C13" s="2" t="s">
        <v>59</v>
      </c>
      <c r="D13" s="7"/>
      <c r="E13" s="7">
        <f>+Options!W13</f>
        <v>0</v>
      </c>
      <c r="F13" s="7"/>
      <c r="G13" s="7">
        <f t="shared" si="0"/>
        <v>0</v>
      </c>
      <c r="H13" s="7"/>
      <c r="I13" s="7">
        <f t="shared" si="1"/>
        <v>0</v>
      </c>
    </row>
    <row r="14" spans="1:11" x14ac:dyDescent="0.2">
      <c r="A14" s="2" t="s">
        <v>19</v>
      </c>
      <c r="B14" s="2" t="s">
        <v>6</v>
      </c>
      <c r="C14" s="2" t="s">
        <v>5</v>
      </c>
      <c r="D14" s="7"/>
      <c r="E14" s="7">
        <f>+Options!W14</f>
        <v>0</v>
      </c>
      <c r="F14" s="7"/>
      <c r="G14" s="7">
        <f t="shared" si="0"/>
        <v>0</v>
      </c>
      <c r="H14" s="7"/>
      <c r="I14" s="7">
        <f t="shared" si="1"/>
        <v>0</v>
      </c>
      <c r="K14" s="7"/>
    </row>
    <row r="15" spans="1:11" x14ac:dyDescent="0.2">
      <c r="A15" s="2" t="s">
        <v>19</v>
      </c>
      <c r="B15" s="2" t="s">
        <v>6</v>
      </c>
      <c r="C15" s="2" t="s">
        <v>169</v>
      </c>
      <c r="D15" s="7"/>
      <c r="E15" s="7">
        <f>+Options!W15</f>
        <v>0</v>
      </c>
      <c r="F15" s="7"/>
      <c r="G15" s="7">
        <f t="shared" si="0"/>
        <v>0</v>
      </c>
      <c r="H15" s="7"/>
      <c r="I15" s="7">
        <f t="shared" si="1"/>
        <v>0</v>
      </c>
      <c r="K15" s="7"/>
    </row>
    <row r="16" spans="1:11" x14ac:dyDescent="0.2">
      <c r="A16" s="2" t="s">
        <v>19</v>
      </c>
      <c r="B16" s="2" t="s">
        <v>20</v>
      </c>
      <c r="C16" s="2" t="s">
        <v>3</v>
      </c>
      <c r="D16" s="7"/>
      <c r="E16" s="7">
        <f>+Options!W16</f>
        <v>0</v>
      </c>
      <c r="F16" s="7"/>
      <c r="G16" s="7">
        <f t="shared" si="0"/>
        <v>0</v>
      </c>
      <c r="H16" s="7"/>
      <c r="I16" s="7">
        <f t="shared" si="1"/>
        <v>0</v>
      </c>
    </row>
    <row r="17" spans="1:11" hidden="1" x14ac:dyDescent="0.2">
      <c r="A17" s="2" t="s">
        <v>69</v>
      </c>
      <c r="B17" s="2" t="s">
        <v>70</v>
      </c>
      <c r="C17" s="2" t="s">
        <v>89</v>
      </c>
      <c r="D17" s="7"/>
      <c r="E17" s="7">
        <f>+Options!W17</f>
        <v>0</v>
      </c>
      <c r="F17" s="7"/>
      <c r="G17" s="7">
        <f t="shared" si="0"/>
        <v>0</v>
      </c>
      <c r="H17" s="7"/>
      <c r="I17" s="7">
        <f t="shared" si="1"/>
        <v>0</v>
      </c>
    </row>
    <row r="18" spans="1:11" hidden="1" x14ac:dyDescent="0.2">
      <c r="A18" s="2" t="s">
        <v>69</v>
      </c>
      <c r="B18" s="2" t="s">
        <v>70</v>
      </c>
      <c r="C18" s="2" t="s">
        <v>80</v>
      </c>
      <c r="D18" s="7"/>
      <c r="E18" s="7">
        <f>+Options!W18</f>
        <v>0</v>
      </c>
      <c r="F18" s="7"/>
      <c r="G18" s="7">
        <f t="shared" si="0"/>
        <v>0</v>
      </c>
      <c r="H18" s="7"/>
      <c r="I18" s="7">
        <f t="shared" si="1"/>
        <v>0</v>
      </c>
    </row>
    <row r="19" spans="1:11" hidden="1" x14ac:dyDescent="0.2">
      <c r="A19" s="2" t="s">
        <v>57</v>
      </c>
      <c r="B19" s="2" t="s">
        <v>86</v>
      </c>
      <c r="C19" s="2" t="s">
        <v>60</v>
      </c>
      <c r="D19" s="7"/>
      <c r="E19" s="7">
        <f>+Options!W19</f>
        <v>0</v>
      </c>
      <c r="F19" s="7"/>
      <c r="G19" s="7">
        <f t="shared" si="0"/>
        <v>0</v>
      </c>
      <c r="H19" s="7"/>
      <c r="I19" s="7">
        <f t="shared" si="1"/>
        <v>0</v>
      </c>
    </row>
    <row r="20" spans="1:11" hidden="1" x14ac:dyDescent="0.2">
      <c r="A20" s="2" t="s">
        <v>111</v>
      </c>
      <c r="B20" s="2" t="s">
        <v>113</v>
      </c>
      <c r="C20" s="2" t="s">
        <v>114</v>
      </c>
      <c r="D20" s="7"/>
      <c r="E20" s="7">
        <f>+Options!W20</f>
        <v>0</v>
      </c>
      <c r="F20" s="7"/>
      <c r="G20" s="7">
        <f t="shared" si="0"/>
        <v>0</v>
      </c>
      <c r="H20" s="7"/>
      <c r="I20" s="7">
        <f t="shared" si="1"/>
        <v>0</v>
      </c>
    </row>
    <row r="21" spans="1:11" hidden="1" x14ac:dyDescent="0.2">
      <c r="A21" s="2" t="s">
        <v>122</v>
      </c>
      <c r="B21" s="2" t="s">
        <v>123</v>
      </c>
      <c r="C21" s="2" t="s">
        <v>124</v>
      </c>
      <c r="D21" s="7"/>
      <c r="E21" s="7">
        <f>+Options!W21</f>
        <v>0</v>
      </c>
      <c r="F21" s="7"/>
      <c r="G21" s="7">
        <f t="shared" si="0"/>
        <v>0</v>
      </c>
      <c r="H21" s="7"/>
      <c r="I21" s="7">
        <f t="shared" si="1"/>
        <v>0</v>
      </c>
    </row>
    <row r="22" spans="1:11" hidden="1" x14ac:dyDescent="0.2">
      <c r="A22" s="2" t="s">
        <v>124</v>
      </c>
      <c r="B22" s="2" t="s">
        <v>123</v>
      </c>
      <c r="C22" s="2" t="s">
        <v>127</v>
      </c>
      <c r="D22" s="7"/>
      <c r="E22" s="7">
        <f>+Options!W22</f>
        <v>0</v>
      </c>
      <c r="F22" s="7"/>
      <c r="G22" s="7">
        <f t="shared" si="0"/>
        <v>0</v>
      </c>
      <c r="H22" s="7"/>
      <c r="I22" s="7">
        <f t="shared" si="1"/>
        <v>0</v>
      </c>
    </row>
    <row r="23" spans="1:11" x14ac:dyDescent="0.2">
      <c r="A23" s="2" t="s">
        <v>69</v>
      </c>
      <c r="B23" s="2" t="s">
        <v>119</v>
      </c>
      <c r="C23" s="2" t="s">
        <v>120</v>
      </c>
      <c r="D23" s="7"/>
      <c r="E23" s="7">
        <f>+Options!W23</f>
        <v>0</v>
      </c>
      <c r="F23" s="7"/>
      <c r="G23" s="7">
        <f t="shared" si="0"/>
        <v>0</v>
      </c>
      <c r="H23" s="7"/>
      <c r="I23" s="7">
        <f t="shared" si="1"/>
        <v>0</v>
      </c>
      <c r="J23" s="7"/>
    </row>
    <row r="24" spans="1:11" x14ac:dyDescent="0.2">
      <c r="A24" s="2" t="s">
        <v>36</v>
      </c>
      <c r="B24" s="2" t="s">
        <v>8</v>
      </c>
      <c r="C24" s="2" t="s">
        <v>7</v>
      </c>
      <c r="D24" s="7"/>
      <c r="E24" s="7">
        <f>+Options!W24</f>
        <v>0</v>
      </c>
      <c r="F24" s="7"/>
      <c r="G24" s="7">
        <f t="shared" si="0"/>
        <v>0</v>
      </c>
      <c r="H24" s="7"/>
      <c r="I24" s="7">
        <f t="shared" si="1"/>
        <v>0</v>
      </c>
    </row>
    <row r="25" spans="1:11" x14ac:dyDescent="0.2">
      <c r="A25" s="2" t="s">
        <v>17</v>
      </c>
      <c r="B25" s="2" t="s">
        <v>8</v>
      </c>
      <c r="C25" s="2" t="s">
        <v>15</v>
      </c>
      <c r="D25" s="7"/>
      <c r="E25" s="7">
        <f>+Options!W25</f>
        <v>0</v>
      </c>
      <c r="F25" s="7"/>
      <c r="G25" s="7">
        <f t="shared" si="0"/>
        <v>0</v>
      </c>
      <c r="H25" s="7"/>
      <c r="I25" s="7">
        <f t="shared" si="1"/>
        <v>0</v>
      </c>
      <c r="K25" s="7"/>
    </row>
    <row r="26" spans="1:11" hidden="1" x14ac:dyDescent="0.2">
      <c r="A26" s="2" t="s">
        <v>17</v>
      </c>
      <c r="B26" s="2" t="s">
        <v>8</v>
      </c>
      <c r="C26" s="2" t="s">
        <v>134</v>
      </c>
      <c r="D26" s="7"/>
      <c r="E26" s="7">
        <f>+Options!W26</f>
        <v>0</v>
      </c>
      <c r="F26" s="7"/>
      <c r="G26" s="7">
        <f t="shared" si="0"/>
        <v>0</v>
      </c>
      <c r="H26" s="7"/>
      <c r="I26" s="7">
        <f t="shared" si="1"/>
        <v>0</v>
      </c>
      <c r="K26" s="7"/>
    </row>
    <row r="27" spans="1:11" x14ac:dyDescent="0.2">
      <c r="A27" s="2" t="s">
        <v>17</v>
      </c>
      <c r="B27" s="2" t="s">
        <v>8</v>
      </c>
      <c r="C27" s="2" t="s">
        <v>9</v>
      </c>
      <c r="D27" s="7"/>
      <c r="E27" s="7">
        <f>+Options!W27</f>
        <v>0</v>
      </c>
      <c r="F27" s="7"/>
      <c r="G27" s="7">
        <f t="shared" si="0"/>
        <v>0</v>
      </c>
      <c r="H27" s="7"/>
      <c r="I27" s="7">
        <f t="shared" si="1"/>
        <v>0</v>
      </c>
    </row>
    <row r="28" spans="1:11" hidden="1" x14ac:dyDescent="0.2">
      <c r="A28" s="2" t="s">
        <v>17</v>
      </c>
      <c r="B28" s="2" t="s">
        <v>8</v>
      </c>
      <c r="C28" s="2" t="s">
        <v>75</v>
      </c>
      <c r="D28" s="7"/>
      <c r="E28" s="7"/>
      <c r="F28" s="7"/>
      <c r="G28" s="7"/>
      <c r="H28" s="7"/>
      <c r="I28" s="7"/>
    </row>
    <row r="29" spans="1:11" x14ac:dyDescent="0.2">
      <c r="A29" s="2" t="s">
        <v>83</v>
      </c>
      <c r="B29" s="2" t="s">
        <v>84</v>
      </c>
      <c r="C29" s="2" t="s">
        <v>85</v>
      </c>
      <c r="D29" s="7"/>
      <c r="E29" s="7">
        <f>+Options!W29</f>
        <v>0</v>
      </c>
      <c r="F29" s="7"/>
      <c r="G29" s="7">
        <f t="shared" ref="G29:G39" si="2">SUM(D29:F29)</f>
        <v>0</v>
      </c>
      <c r="H29" s="7"/>
      <c r="I29" s="7">
        <f t="shared" ref="I29:I39" si="3">+G29-H29</f>
        <v>0</v>
      </c>
    </row>
    <row r="30" spans="1:11" hidden="1" x14ac:dyDescent="0.2">
      <c r="A30" s="2" t="s">
        <v>18</v>
      </c>
      <c r="B30" s="2" t="s">
        <v>166</v>
      </c>
      <c r="C30" s="2" t="s">
        <v>167</v>
      </c>
      <c r="D30" s="7"/>
      <c r="E30" s="7">
        <f>+Options!W30</f>
        <v>0</v>
      </c>
      <c r="F30" s="7"/>
      <c r="G30" s="7">
        <f t="shared" si="2"/>
        <v>0</v>
      </c>
      <c r="H30" s="7"/>
      <c r="I30" s="7">
        <f t="shared" si="3"/>
        <v>0</v>
      </c>
    </row>
    <row r="31" spans="1:11" x14ac:dyDescent="0.2">
      <c r="A31" s="2" t="s">
        <v>128</v>
      </c>
      <c r="B31" s="2" t="s">
        <v>129</v>
      </c>
      <c r="C31" s="2" t="s">
        <v>121</v>
      </c>
      <c r="D31" s="7"/>
      <c r="E31" s="7">
        <f>+Options!W31</f>
        <v>0</v>
      </c>
      <c r="F31" s="7"/>
      <c r="G31" s="7">
        <f t="shared" si="2"/>
        <v>0</v>
      </c>
      <c r="H31" s="7"/>
      <c r="I31" s="7">
        <f t="shared" si="3"/>
        <v>0</v>
      </c>
    </row>
    <row r="32" spans="1:11" x14ac:dyDescent="0.2">
      <c r="A32" s="2" t="s">
        <v>45</v>
      </c>
      <c r="B32" s="2" t="s">
        <v>173</v>
      </c>
      <c r="C32" s="2" t="s">
        <v>59</v>
      </c>
      <c r="D32" s="7"/>
      <c r="E32" s="7">
        <f>+Options!W32</f>
        <v>0</v>
      </c>
      <c r="F32" s="7"/>
      <c r="G32" s="7">
        <f t="shared" si="2"/>
        <v>0</v>
      </c>
      <c r="H32" s="7"/>
      <c r="I32" s="7">
        <f t="shared" si="3"/>
        <v>0</v>
      </c>
    </row>
    <row r="33" spans="1:11" hidden="1" x14ac:dyDescent="0.2">
      <c r="A33" s="2" t="s">
        <v>42</v>
      </c>
      <c r="B33" s="2" t="s">
        <v>151</v>
      </c>
      <c r="C33" s="2" t="s">
        <v>152</v>
      </c>
      <c r="D33" s="7"/>
      <c r="E33" s="7">
        <f>+Options!W33</f>
        <v>0</v>
      </c>
      <c r="F33" s="7"/>
      <c r="G33" s="7">
        <f t="shared" si="2"/>
        <v>0</v>
      </c>
      <c r="H33" s="7"/>
      <c r="I33" s="7">
        <f t="shared" si="3"/>
        <v>0</v>
      </c>
    </row>
    <row r="34" spans="1:11" hidden="1" x14ac:dyDescent="0.2">
      <c r="A34" s="2" t="s">
        <v>19</v>
      </c>
      <c r="B34" s="2" t="s">
        <v>10</v>
      </c>
      <c r="C34" s="2" t="s">
        <v>3</v>
      </c>
      <c r="D34" s="7"/>
      <c r="E34" s="7">
        <f>+Options!W34</f>
        <v>0</v>
      </c>
      <c r="F34" s="7"/>
      <c r="G34" s="7">
        <f t="shared" si="2"/>
        <v>0</v>
      </c>
      <c r="H34" s="7"/>
      <c r="I34" s="7">
        <f t="shared" si="3"/>
        <v>0</v>
      </c>
    </row>
    <row r="35" spans="1:11" x14ac:dyDescent="0.2">
      <c r="A35" s="2" t="s">
        <v>18</v>
      </c>
      <c r="B35" s="2" t="s">
        <v>10</v>
      </c>
      <c r="C35" s="2" t="s">
        <v>11</v>
      </c>
      <c r="D35" s="7"/>
      <c r="E35" s="7">
        <f>+Options!W35</f>
        <v>0</v>
      </c>
      <c r="F35" s="7"/>
      <c r="G35" s="7">
        <f t="shared" si="2"/>
        <v>0</v>
      </c>
      <c r="H35" s="7"/>
      <c r="I35" s="7">
        <f t="shared" si="3"/>
        <v>0</v>
      </c>
    </row>
    <row r="36" spans="1:11" hidden="1" x14ac:dyDescent="0.2">
      <c r="A36" s="2" t="s">
        <v>164</v>
      </c>
      <c r="B36" s="2" t="s">
        <v>10</v>
      </c>
      <c r="C36" s="2" t="s">
        <v>120</v>
      </c>
      <c r="D36" s="7"/>
      <c r="E36" s="7">
        <f>+Options!W36</f>
        <v>0</v>
      </c>
      <c r="F36" s="7"/>
      <c r="G36" s="7">
        <f t="shared" si="2"/>
        <v>0</v>
      </c>
      <c r="H36" s="7"/>
      <c r="I36" s="7">
        <f t="shared" si="3"/>
        <v>0</v>
      </c>
    </row>
    <row r="37" spans="1:11" ht="14.25" customHeight="1" x14ac:dyDescent="0.2">
      <c r="A37" s="2" t="s">
        <v>19</v>
      </c>
      <c r="B37" s="2" t="s">
        <v>38</v>
      </c>
      <c r="C37" s="2" t="s">
        <v>39</v>
      </c>
      <c r="D37" s="7"/>
      <c r="E37" s="7">
        <f>+Options!W37</f>
        <v>0</v>
      </c>
      <c r="F37" s="7"/>
      <c r="G37" s="7">
        <f t="shared" si="2"/>
        <v>0</v>
      </c>
      <c r="H37" s="7"/>
      <c r="I37" s="7">
        <f t="shared" si="3"/>
        <v>0</v>
      </c>
    </row>
    <row r="38" spans="1:11" hidden="1" x14ac:dyDescent="0.2">
      <c r="A38" s="2" t="s">
        <v>36</v>
      </c>
      <c r="B38" s="2" t="s">
        <v>67</v>
      </c>
      <c r="C38" s="2" t="s">
        <v>68</v>
      </c>
      <c r="D38" s="7"/>
      <c r="E38" s="7">
        <f>+Options!W38</f>
        <v>0</v>
      </c>
      <c r="F38" s="7"/>
      <c r="G38" s="7">
        <f t="shared" si="2"/>
        <v>0</v>
      </c>
      <c r="H38" s="7"/>
      <c r="I38" s="7">
        <f t="shared" si="3"/>
        <v>0</v>
      </c>
    </row>
    <row r="39" spans="1:11" x14ac:dyDescent="0.2">
      <c r="A39" s="2" t="s">
        <v>19</v>
      </c>
      <c r="B39" s="2" t="s">
        <v>64</v>
      </c>
      <c r="C39" s="2" t="s">
        <v>65</v>
      </c>
      <c r="D39" s="7"/>
      <c r="E39" s="7">
        <f>+Options!W39</f>
        <v>0</v>
      </c>
      <c r="F39" s="7"/>
      <c r="G39" s="7">
        <f t="shared" si="2"/>
        <v>0</v>
      </c>
      <c r="H39" s="7"/>
      <c r="I39" s="7">
        <f t="shared" si="3"/>
        <v>0</v>
      </c>
      <c r="J39" s="7"/>
    </row>
    <row r="40" spans="1:11" hidden="1" x14ac:dyDescent="0.2">
      <c r="A40" s="2" t="s">
        <v>19</v>
      </c>
      <c r="B40" s="2" t="s">
        <v>74</v>
      </c>
      <c r="C40" s="2" t="s">
        <v>15</v>
      </c>
      <c r="D40" s="7"/>
      <c r="E40" s="7"/>
      <c r="F40" s="7"/>
      <c r="G40" s="7"/>
      <c r="H40" s="7"/>
      <c r="I40" s="7"/>
      <c r="K40" s="7"/>
    </row>
    <row r="41" spans="1:11" x14ac:dyDescent="0.2">
      <c r="A41" s="2" t="s">
        <v>42</v>
      </c>
      <c r="B41" s="2" t="s">
        <v>55</v>
      </c>
      <c r="C41" s="2" t="s">
        <v>56</v>
      </c>
      <c r="D41" s="7"/>
      <c r="E41" s="7">
        <f>+Options!W41</f>
        <v>0</v>
      </c>
      <c r="F41" s="7"/>
      <c r="G41" s="7">
        <f t="shared" ref="G41:G65" si="4">SUM(D41:F41)</f>
        <v>0</v>
      </c>
      <c r="H41" s="7"/>
      <c r="I41" s="7">
        <f t="shared" ref="I41:I65" si="5">+G41-H41</f>
        <v>0</v>
      </c>
    </row>
    <row r="42" spans="1:11" hidden="1" x14ac:dyDescent="0.2">
      <c r="A42" s="2" t="s">
        <v>83</v>
      </c>
      <c r="B42" s="2" t="s">
        <v>44</v>
      </c>
      <c r="C42" s="2" t="s">
        <v>121</v>
      </c>
      <c r="D42" s="7"/>
      <c r="E42" s="7">
        <f>+Options!W42</f>
        <v>0</v>
      </c>
      <c r="F42" s="7"/>
      <c r="G42" s="7">
        <f t="shared" si="4"/>
        <v>0</v>
      </c>
      <c r="H42" s="7"/>
      <c r="I42" s="7">
        <f t="shared" si="5"/>
        <v>0</v>
      </c>
    </row>
    <row r="43" spans="1:11" x14ac:dyDescent="0.2">
      <c r="A43" s="2" t="s">
        <v>42</v>
      </c>
      <c r="B43" s="2" t="s">
        <v>44</v>
      </c>
      <c r="C43" s="2" t="s">
        <v>9</v>
      </c>
      <c r="D43" s="7"/>
      <c r="E43" s="7">
        <f>+Options!W43</f>
        <v>0</v>
      </c>
      <c r="F43" s="7"/>
      <c r="G43" s="7">
        <f t="shared" si="4"/>
        <v>0</v>
      </c>
      <c r="H43" s="7"/>
      <c r="I43" s="7">
        <f t="shared" si="5"/>
        <v>0</v>
      </c>
    </row>
    <row r="44" spans="1:11" hidden="1" x14ac:dyDescent="0.2">
      <c r="A44" s="2" t="s">
        <v>7</v>
      </c>
      <c r="B44" s="2" t="s">
        <v>63</v>
      </c>
      <c r="C44" s="2" t="s">
        <v>25</v>
      </c>
      <c r="D44" s="7"/>
      <c r="E44" s="7">
        <f>+Options!W44</f>
        <v>0</v>
      </c>
      <c r="F44" s="7"/>
      <c r="G44" s="7">
        <f t="shared" si="4"/>
        <v>0</v>
      </c>
      <c r="H44" s="7"/>
      <c r="I44" s="7">
        <f t="shared" si="5"/>
        <v>0</v>
      </c>
    </row>
    <row r="45" spans="1:11" x14ac:dyDescent="0.2">
      <c r="A45" s="2" t="s">
        <v>71</v>
      </c>
      <c r="B45" s="2" t="s">
        <v>109</v>
      </c>
      <c r="C45" s="2" t="s">
        <v>110</v>
      </c>
      <c r="D45" s="7"/>
      <c r="E45" s="7">
        <f>+Options!W45</f>
        <v>0</v>
      </c>
      <c r="F45" s="7"/>
      <c r="G45" s="7">
        <f t="shared" si="4"/>
        <v>0</v>
      </c>
      <c r="H45" s="7"/>
      <c r="I45" s="7">
        <f t="shared" si="5"/>
        <v>0</v>
      </c>
    </row>
    <row r="46" spans="1:11" x14ac:dyDescent="0.2">
      <c r="A46" s="2" t="s">
        <v>135</v>
      </c>
      <c r="B46" s="2" t="s">
        <v>109</v>
      </c>
      <c r="C46" s="2" t="s">
        <v>142</v>
      </c>
      <c r="D46" s="7"/>
      <c r="E46" s="7">
        <f>+Options!W46</f>
        <v>0</v>
      </c>
      <c r="F46" s="7"/>
      <c r="G46" s="7">
        <f t="shared" si="4"/>
        <v>0</v>
      </c>
      <c r="H46" s="7"/>
      <c r="I46" s="7">
        <f t="shared" si="5"/>
        <v>0</v>
      </c>
    </row>
    <row r="47" spans="1:11" hidden="1" x14ac:dyDescent="0.2">
      <c r="A47" s="2" t="s">
        <v>83</v>
      </c>
      <c r="B47" s="2" t="s">
        <v>115</v>
      </c>
      <c r="C47" s="2" t="s">
        <v>116</v>
      </c>
      <c r="D47" s="7"/>
      <c r="E47" s="7">
        <f>+Options!W47</f>
        <v>0</v>
      </c>
      <c r="F47" s="7"/>
      <c r="G47" s="7">
        <f t="shared" si="4"/>
        <v>0</v>
      </c>
      <c r="H47" s="7"/>
      <c r="I47" s="7">
        <f t="shared" si="5"/>
        <v>0</v>
      </c>
    </row>
    <row r="48" spans="1:11" x14ac:dyDescent="0.2">
      <c r="A48" s="2" t="s">
        <v>19</v>
      </c>
      <c r="B48" s="2" t="s">
        <v>61</v>
      </c>
      <c r="C48" s="2" t="s">
        <v>62</v>
      </c>
      <c r="D48" s="7"/>
      <c r="E48" s="7">
        <f>+Options!W48</f>
        <v>0</v>
      </c>
      <c r="F48" s="7"/>
      <c r="G48" s="7">
        <f t="shared" si="4"/>
        <v>0</v>
      </c>
      <c r="H48" s="7"/>
      <c r="I48" s="7">
        <f t="shared" si="5"/>
        <v>0</v>
      </c>
    </row>
    <row r="49" spans="1:11" x14ac:dyDescent="0.2">
      <c r="A49" s="2" t="s">
        <v>45</v>
      </c>
      <c r="B49" s="2" t="s">
        <v>50</v>
      </c>
      <c r="C49" s="2" t="s">
        <v>51</v>
      </c>
      <c r="D49" s="7"/>
      <c r="E49" s="7">
        <f>+Options!W49</f>
        <v>0</v>
      </c>
      <c r="F49" s="7"/>
      <c r="G49" s="7">
        <f t="shared" si="4"/>
        <v>0</v>
      </c>
      <c r="H49" s="7"/>
      <c r="I49" s="7">
        <f t="shared" si="5"/>
        <v>0</v>
      </c>
    </row>
    <row r="50" spans="1:11" x14ac:dyDescent="0.2">
      <c r="A50" s="2" t="s">
        <v>111</v>
      </c>
      <c r="B50" s="2" t="s">
        <v>172</v>
      </c>
      <c r="C50" s="2" t="s">
        <v>12</v>
      </c>
      <c r="D50" s="7"/>
      <c r="E50" s="7">
        <f>+Options!W50</f>
        <v>0</v>
      </c>
      <c r="F50" s="7"/>
      <c r="G50" s="7">
        <f t="shared" si="4"/>
        <v>0</v>
      </c>
      <c r="H50" s="7"/>
      <c r="I50" s="7">
        <f t="shared" si="5"/>
        <v>0</v>
      </c>
    </row>
    <row r="51" spans="1:11" hidden="1" x14ac:dyDescent="0.2">
      <c r="A51" s="2" t="s">
        <v>49</v>
      </c>
      <c r="B51" s="2" t="s">
        <v>48</v>
      </c>
      <c r="C51" s="2" t="s">
        <v>49</v>
      </c>
      <c r="D51" s="7"/>
      <c r="E51" s="7">
        <f>+Options!W51</f>
        <v>0</v>
      </c>
      <c r="F51" s="7"/>
      <c r="G51" s="7">
        <f t="shared" si="4"/>
        <v>0</v>
      </c>
      <c r="H51" s="7"/>
      <c r="I51" s="7">
        <f t="shared" si="5"/>
        <v>0</v>
      </c>
    </row>
    <row r="52" spans="1:11" hidden="1" x14ac:dyDescent="0.2">
      <c r="A52" s="2" t="s">
        <v>130</v>
      </c>
      <c r="B52" s="2" t="s">
        <v>153</v>
      </c>
      <c r="C52" s="2" t="s">
        <v>15</v>
      </c>
      <c r="D52" s="7"/>
      <c r="E52" s="7">
        <f>+Options!W52</f>
        <v>0</v>
      </c>
      <c r="F52" s="7"/>
      <c r="G52" s="7">
        <f t="shared" si="4"/>
        <v>0</v>
      </c>
      <c r="H52" s="7"/>
      <c r="I52" s="7">
        <f t="shared" si="5"/>
        <v>0</v>
      </c>
    </row>
    <row r="53" spans="1:11" hidden="1" x14ac:dyDescent="0.2">
      <c r="A53" s="2" t="s">
        <v>130</v>
      </c>
      <c r="B53" s="2" t="s">
        <v>153</v>
      </c>
      <c r="C53" s="2" t="s">
        <v>127</v>
      </c>
      <c r="D53" s="7"/>
      <c r="E53" s="7">
        <f>+Options!W53</f>
        <v>0</v>
      </c>
      <c r="F53" s="7"/>
      <c r="G53" s="7">
        <f t="shared" si="4"/>
        <v>0</v>
      </c>
      <c r="H53" s="7"/>
      <c r="I53" s="7">
        <f t="shared" si="5"/>
        <v>0</v>
      </c>
    </row>
    <row r="54" spans="1:11" x14ac:dyDescent="0.2">
      <c r="A54" s="2" t="s">
        <v>17</v>
      </c>
      <c r="B54" s="2" t="s">
        <v>53</v>
      </c>
      <c r="C54" s="2" t="s">
        <v>54</v>
      </c>
      <c r="D54" s="7"/>
      <c r="E54" s="7">
        <f>+Options!W54</f>
        <v>0</v>
      </c>
      <c r="F54" s="7"/>
      <c r="G54" s="7">
        <f t="shared" si="4"/>
        <v>0</v>
      </c>
      <c r="H54" s="7"/>
      <c r="I54" s="7">
        <f t="shared" si="5"/>
        <v>0</v>
      </c>
    </row>
    <row r="55" spans="1:11" x14ac:dyDescent="0.2">
      <c r="A55" s="2" t="s">
        <v>42</v>
      </c>
      <c r="B55" s="2" t="s">
        <v>2</v>
      </c>
      <c r="C55" s="2" t="s">
        <v>163</v>
      </c>
      <c r="D55" s="7"/>
      <c r="E55" s="7">
        <f>+Options!W55</f>
        <v>0</v>
      </c>
      <c r="F55" s="7"/>
      <c r="G55" s="7">
        <f t="shared" si="4"/>
        <v>0</v>
      </c>
      <c r="H55" s="7"/>
      <c r="I55" s="7">
        <f t="shared" si="5"/>
        <v>0</v>
      </c>
      <c r="K55" s="7"/>
    </row>
    <row r="56" spans="1:11" x14ac:dyDescent="0.2">
      <c r="A56" s="2" t="s">
        <v>42</v>
      </c>
      <c r="B56" s="2" t="s">
        <v>2</v>
      </c>
      <c r="C56" s="2" t="s">
        <v>13</v>
      </c>
      <c r="D56" s="7"/>
      <c r="E56" s="7">
        <f>+Options!W56</f>
        <v>0</v>
      </c>
      <c r="F56" s="7"/>
      <c r="G56" s="7">
        <f t="shared" si="4"/>
        <v>0</v>
      </c>
      <c r="H56" s="7"/>
      <c r="I56" s="7">
        <f t="shared" si="5"/>
        <v>0</v>
      </c>
      <c r="K56" s="7"/>
    </row>
    <row r="57" spans="1:11" x14ac:dyDescent="0.2">
      <c r="A57" s="2" t="s">
        <v>45</v>
      </c>
      <c r="B57" s="2" t="s">
        <v>170</v>
      </c>
      <c r="C57" s="2" t="s">
        <v>171</v>
      </c>
      <c r="D57" s="7"/>
      <c r="E57" s="7">
        <f>+Options!W57</f>
        <v>0</v>
      </c>
      <c r="F57" s="7"/>
      <c r="G57" s="7">
        <f t="shared" si="4"/>
        <v>0</v>
      </c>
      <c r="H57" s="7"/>
      <c r="I57" s="7">
        <f t="shared" si="5"/>
        <v>0</v>
      </c>
      <c r="K57" s="7"/>
    </row>
    <row r="58" spans="1:11" x14ac:dyDescent="0.2">
      <c r="A58" s="2" t="s">
        <v>42</v>
      </c>
      <c r="B58" s="2" t="s">
        <v>174</v>
      </c>
      <c r="C58" s="2" t="s">
        <v>175</v>
      </c>
      <c r="D58" s="7"/>
      <c r="E58" s="7">
        <f>+Options!W58</f>
        <v>0</v>
      </c>
      <c r="F58" s="7"/>
      <c r="G58" s="7">
        <f t="shared" si="4"/>
        <v>0</v>
      </c>
      <c r="H58" s="7"/>
      <c r="I58" s="7">
        <f t="shared" si="5"/>
        <v>0</v>
      </c>
      <c r="K58" s="7"/>
    </row>
    <row r="59" spans="1:11" x14ac:dyDescent="0.2">
      <c r="A59" s="2" t="s">
        <v>45</v>
      </c>
      <c r="B59" s="2" t="s">
        <v>14</v>
      </c>
      <c r="C59" s="2" t="s">
        <v>5</v>
      </c>
      <c r="D59" s="7"/>
      <c r="E59" s="7">
        <f>+Options!W59</f>
        <v>0</v>
      </c>
      <c r="F59" s="7"/>
      <c r="G59" s="7">
        <f t="shared" si="4"/>
        <v>0</v>
      </c>
      <c r="H59" s="7"/>
      <c r="I59" s="7">
        <f t="shared" si="5"/>
        <v>0</v>
      </c>
    </row>
    <row r="60" spans="1:11" x14ac:dyDescent="0.2">
      <c r="A60" s="2" t="s">
        <v>19</v>
      </c>
      <c r="B60" s="2" t="s">
        <v>14</v>
      </c>
      <c r="C60" s="2" t="s">
        <v>12</v>
      </c>
      <c r="D60" s="7"/>
      <c r="E60" s="7">
        <f>+Options!W60</f>
        <v>0</v>
      </c>
      <c r="F60" s="7"/>
      <c r="G60" s="7">
        <f t="shared" si="4"/>
        <v>0</v>
      </c>
      <c r="H60" s="7"/>
      <c r="I60" s="7">
        <f t="shared" si="5"/>
        <v>0</v>
      </c>
      <c r="K60" s="7"/>
    </row>
    <row r="61" spans="1:11" x14ac:dyDescent="0.2">
      <c r="A61" s="2" t="s">
        <v>42</v>
      </c>
      <c r="B61" s="2" t="s">
        <v>46</v>
      </c>
      <c r="C61" s="2" t="s">
        <v>47</v>
      </c>
      <c r="D61" s="7"/>
      <c r="E61" s="7">
        <f>+Options!W61</f>
        <v>0</v>
      </c>
      <c r="F61" s="7"/>
      <c r="G61" s="7">
        <f t="shared" si="4"/>
        <v>0</v>
      </c>
      <c r="H61" s="7"/>
      <c r="I61" s="7">
        <f t="shared" si="5"/>
        <v>0</v>
      </c>
    </row>
    <row r="62" spans="1:11" x14ac:dyDescent="0.2">
      <c r="A62" s="2" t="s">
        <v>111</v>
      </c>
      <c r="B62" s="2" t="s">
        <v>46</v>
      </c>
      <c r="C62" s="2" t="s">
        <v>112</v>
      </c>
      <c r="D62" s="7"/>
      <c r="E62" s="7">
        <f>+Options!W62</f>
        <v>0</v>
      </c>
      <c r="F62" s="7"/>
      <c r="G62" s="7">
        <f t="shared" si="4"/>
        <v>0</v>
      </c>
      <c r="H62" s="7"/>
      <c r="I62" s="7">
        <f t="shared" si="5"/>
        <v>0</v>
      </c>
    </row>
    <row r="63" spans="1:11" hidden="1" x14ac:dyDescent="0.2">
      <c r="A63" s="2" t="s">
        <v>73</v>
      </c>
      <c r="B63" s="2" t="s">
        <v>46</v>
      </c>
      <c r="C63" s="2" t="s">
        <v>65</v>
      </c>
      <c r="D63" s="7"/>
      <c r="E63" s="7">
        <f>+Options!W63</f>
        <v>0</v>
      </c>
      <c r="F63" s="7"/>
      <c r="G63" s="7">
        <f t="shared" si="4"/>
        <v>0</v>
      </c>
      <c r="H63" s="7"/>
      <c r="I63" s="7">
        <f t="shared" si="5"/>
        <v>0</v>
      </c>
    </row>
    <row r="64" spans="1:11" x14ac:dyDescent="0.2">
      <c r="A64" s="2" t="s">
        <v>143</v>
      </c>
      <c r="B64" s="2" t="s">
        <v>144</v>
      </c>
      <c r="C64" s="2" t="s">
        <v>25</v>
      </c>
      <c r="D64" s="7"/>
      <c r="E64" s="7">
        <f>+Options!W64</f>
        <v>0</v>
      </c>
      <c r="F64" s="7"/>
      <c r="G64" s="7">
        <f t="shared" si="4"/>
        <v>0</v>
      </c>
      <c r="H64" s="7"/>
      <c r="I64" s="7">
        <f t="shared" si="5"/>
        <v>0</v>
      </c>
    </row>
    <row r="65" spans="1:13" hidden="1" x14ac:dyDescent="0.2">
      <c r="A65" s="2" t="s">
        <v>17</v>
      </c>
      <c r="B65" s="2" t="s">
        <v>91</v>
      </c>
      <c r="C65" s="2" t="s">
        <v>9</v>
      </c>
      <c r="D65" s="7"/>
      <c r="E65" s="7">
        <f>+Options!W65</f>
        <v>0</v>
      </c>
      <c r="F65" s="7"/>
      <c r="G65" s="7">
        <f t="shared" si="4"/>
        <v>0</v>
      </c>
      <c r="H65" s="7"/>
      <c r="I65" s="7">
        <f t="shared" si="5"/>
        <v>0</v>
      </c>
      <c r="K65" s="7"/>
    </row>
    <row r="66" spans="1:13" x14ac:dyDescent="0.2">
      <c r="D66" s="7">
        <f t="shared" ref="D66:I66" si="6">SUM(D3:D65)</f>
        <v>0</v>
      </c>
      <c r="E66" s="7">
        <f t="shared" si="6"/>
        <v>0</v>
      </c>
      <c r="F66" s="7"/>
      <c r="G66" s="7">
        <f t="shared" si="6"/>
        <v>0</v>
      </c>
      <c r="H66" s="7">
        <f t="shared" si="6"/>
        <v>0</v>
      </c>
      <c r="I66" s="7">
        <f t="shared" si="6"/>
        <v>0</v>
      </c>
      <c r="J66" s="7"/>
      <c r="K66" s="7"/>
      <c r="M66" s="7"/>
    </row>
    <row r="67" spans="1:13" ht="12" customHeight="1" x14ac:dyDescent="0.2">
      <c r="E67" s="2">
        <f>COUNTIF(E3:E66,"10")</f>
        <v>0</v>
      </c>
      <c r="G67" s="7"/>
      <c r="H67" s="7"/>
    </row>
    <row r="68" spans="1:13" x14ac:dyDescent="0.2">
      <c r="D68" s="7"/>
      <c r="E68" s="7"/>
      <c r="G68" s="7"/>
      <c r="H68" s="7"/>
    </row>
    <row r="69" spans="1:13" x14ac:dyDescent="0.2">
      <c r="E69" s="8"/>
      <c r="G69" s="7"/>
      <c r="H69" s="7"/>
    </row>
    <row r="70" spans="1:13" x14ac:dyDescent="0.2">
      <c r="E70" s="8"/>
      <c r="G70" s="7"/>
      <c r="H70" s="7"/>
    </row>
    <row r="71" spans="1:13" x14ac:dyDescent="0.2">
      <c r="E71" s="8"/>
      <c r="H71" s="8"/>
    </row>
    <row r="72" spans="1:13" x14ac:dyDescent="0.2">
      <c r="E72" s="8"/>
      <c r="H72" s="8"/>
    </row>
    <row r="73" spans="1:13" x14ac:dyDescent="0.2">
      <c r="E73" s="8"/>
      <c r="H73" s="8"/>
    </row>
    <row r="74" spans="1:13" x14ac:dyDescent="0.2">
      <c r="E74" s="8"/>
      <c r="H74" s="7"/>
    </row>
    <row r="75" spans="1:13" x14ac:dyDescent="0.2">
      <c r="E75" s="8"/>
      <c r="G75" s="7"/>
      <c r="H75" s="7"/>
      <c r="I75" s="7"/>
    </row>
    <row r="76" spans="1:13" x14ac:dyDescent="0.2">
      <c r="E76" s="8"/>
      <c r="G76" s="7"/>
      <c r="H76" s="7"/>
    </row>
    <row r="77" spans="1:13" x14ac:dyDescent="0.2">
      <c r="E77" s="8"/>
      <c r="G77" s="7"/>
      <c r="H77" s="7"/>
    </row>
    <row r="78" spans="1:13" x14ac:dyDescent="0.2">
      <c r="E78" s="8"/>
      <c r="G78" s="7"/>
      <c r="H78" s="7"/>
    </row>
    <row r="79" spans="1:13" x14ac:dyDescent="0.2">
      <c r="E79" s="8"/>
      <c r="G79" s="7"/>
      <c r="H79" s="7"/>
    </row>
    <row r="80" spans="1:13" x14ac:dyDescent="0.2">
      <c r="E80" s="8"/>
      <c r="G80" s="7"/>
      <c r="H80" s="7"/>
    </row>
    <row r="81" spans="5:8" x14ac:dyDescent="0.2">
      <c r="E81" s="8"/>
      <c r="G81" s="7"/>
      <c r="H81" s="7"/>
    </row>
    <row r="82" spans="5:8" x14ac:dyDescent="0.2">
      <c r="E82" s="8"/>
      <c r="G82" s="7"/>
      <c r="H82" s="7"/>
    </row>
    <row r="83" spans="5:8" x14ac:dyDescent="0.2">
      <c r="E83" s="8"/>
      <c r="G83" s="7"/>
      <c r="H83" s="7"/>
    </row>
    <row r="84" spans="5:8" x14ac:dyDescent="0.2">
      <c r="E84" s="8"/>
      <c r="G84" s="7"/>
      <c r="H84" s="7"/>
    </row>
    <row r="85" spans="5:8" x14ac:dyDescent="0.2">
      <c r="E85" s="8"/>
      <c r="G85" s="7"/>
      <c r="H85" s="7"/>
    </row>
    <row r="86" spans="5:8" x14ac:dyDescent="0.2">
      <c r="E86" s="8"/>
      <c r="G86" s="7"/>
      <c r="H86" s="7"/>
    </row>
    <row r="87" spans="5:8" x14ac:dyDescent="0.2">
      <c r="E87" s="8"/>
      <c r="G87" s="7"/>
      <c r="H87" s="7"/>
    </row>
    <row r="88" spans="5:8" x14ac:dyDescent="0.2">
      <c r="E88" s="8"/>
      <c r="G88" s="7"/>
      <c r="H88" s="7"/>
    </row>
    <row r="89" spans="5:8" x14ac:dyDescent="0.2">
      <c r="E89" s="8"/>
      <c r="G89" s="7"/>
      <c r="H89" s="7"/>
    </row>
    <row r="90" spans="5:8" x14ac:dyDescent="0.2">
      <c r="E90" s="8"/>
      <c r="G90" s="7"/>
      <c r="H90" s="7"/>
    </row>
    <row r="91" spans="5:8" x14ac:dyDescent="0.2">
      <c r="E91" s="8"/>
      <c r="G91" s="7"/>
      <c r="H91" s="7"/>
    </row>
    <row r="92" spans="5:8" x14ac:dyDescent="0.2">
      <c r="E92" s="8"/>
      <c r="G92" s="7"/>
      <c r="H92" s="7"/>
    </row>
    <row r="93" spans="5:8" x14ac:dyDescent="0.2">
      <c r="E93" s="8"/>
      <c r="G93" s="7"/>
      <c r="H93" s="7"/>
    </row>
    <row r="94" spans="5:8" x14ac:dyDescent="0.2">
      <c r="E94" s="8"/>
      <c r="G94" s="7"/>
      <c r="H94" s="7"/>
    </row>
    <row r="95" spans="5:8" x14ac:dyDescent="0.2">
      <c r="E95" s="8"/>
      <c r="G95" s="7"/>
      <c r="H95" s="7"/>
    </row>
    <row r="96" spans="5:8" x14ac:dyDescent="0.2">
      <c r="E96" s="8"/>
      <c r="G96" s="7"/>
      <c r="H96" s="7"/>
    </row>
    <row r="97" spans="1:10" x14ac:dyDescent="0.2">
      <c r="E97" s="8"/>
      <c r="G97" s="7"/>
      <c r="H97" s="7"/>
    </row>
    <row r="98" spans="1:10" x14ac:dyDescent="0.2">
      <c r="E98" s="8"/>
      <c r="G98" s="7"/>
      <c r="H98" s="7"/>
    </row>
    <row r="99" spans="1:10" x14ac:dyDescent="0.2">
      <c r="E99" s="8"/>
      <c r="G99" s="7"/>
      <c r="H99" s="7"/>
    </row>
    <row r="100" spans="1:10" x14ac:dyDescent="0.2">
      <c r="E100" s="8"/>
      <c r="G100" s="7"/>
      <c r="H100" s="7"/>
    </row>
    <row r="101" spans="1:10" x14ac:dyDescent="0.2">
      <c r="E101" s="8"/>
      <c r="G101" s="7"/>
      <c r="H101" s="7"/>
      <c r="I101" s="7"/>
    </row>
    <row r="102" spans="1:10" x14ac:dyDescent="0.2">
      <c r="A102" s="7"/>
      <c r="E102" s="8"/>
      <c r="H102" s="7"/>
    </row>
    <row r="103" spans="1:10" x14ac:dyDescent="0.2">
      <c r="A103" s="7"/>
      <c r="E103" s="8"/>
      <c r="H103" s="7"/>
    </row>
    <row r="104" spans="1:10" x14ac:dyDescent="0.2">
      <c r="A104" s="7"/>
      <c r="G104" s="7"/>
      <c r="H104" s="7"/>
    </row>
    <row r="105" spans="1:10" x14ac:dyDescent="0.2">
      <c r="A105" s="7"/>
      <c r="G105" s="7"/>
      <c r="H105" s="7"/>
    </row>
    <row r="106" spans="1:10" x14ac:dyDescent="0.2">
      <c r="A106" s="7"/>
      <c r="E106" s="7"/>
      <c r="H106" s="7"/>
    </row>
    <row r="107" spans="1:10" x14ac:dyDescent="0.2">
      <c r="A107" s="7"/>
      <c r="E107" s="7"/>
      <c r="H107" s="7"/>
      <c r="I107" s="7"/>
    </row>
    <row r="108" spans="1:10" x14ac:dyDescent="0.2">
      <c r="A108" s="7"/>
      <c r="E108" s="7"/>
      <c r="G108" s="7"/>
      <c r="H108" s="7"/>
      <c r="J108" s="13"/>
    </row>
    <row r="109" spans="1:10" x14ac:dyDescent="0.2">
      <c r="A109" s="7"/>
      <c r="E109" s="7"/>
      <c r="H109" s="7"/>
    </row>
    <row r="110" spans="1:10" x14ac:dyDescent="0.2">
      <c r="A110" s="7"/>
      <c r="H110" s="7"/>
    </row>
    <row r="111" spans="1:10" x14ac:dyDescent="0.2">
      <c r="A111" s="7"/>
      <c r="H111" s="7"/>
    </row>
    <row r="112" spans="1:10" x14ac:dyDescent="0.2">
      <c r="A112" s="7"/>
      <c r="H112" s="7"/>
    </row>
    <row r="113" spans="1:10" x14ac:dyDescent="0.2">
      <c r="A113" s="7"/>
      <c r="H113" s="7"/>
    </row>
    <row r="114" spans="1:10" x14ac:dyDescent="0.2">
      <c r="A114" s="7"/>
      <c r="H114" s="7"/>
    </row>
    <row r="115" spans="1:10" x14ac:dyDescent="0.2">
      <c r="A115" s="7"/>
      <c r="G115" s="7"/>
    </row>
    <row r="116" spans="1:10" x14ac:dyDescent="0.2">
      <c r="A116" s="7"/>
      <c r="G116" s="7"/>
      <c r="H116" s="7"/>
    </row>
    <row r="117" spans="1:10" x14ac:dyDescent="0.2">
      <c r="A117" s="7"/>
      <c r="H117" s="7"/>
    </row>
    <row r="118" spans="1:10" x14ac:dyDescent="0.2">
      <c r="A118" s="7"/>
      <c r="H118" s="7"/>
    </row>
    <row r="119" spans="1:10" x14ac:dyDescent="0.2">
      <c r="A119" s="7"/>
      <c r="H119" s="7"/>
    </row>
    <row r="120" spans="1:10" x14ac:dyDescent="0.2">
      <c r="A120" s="7"/>
      <c r="H120" s="7"/>
    </row>
    <row r="121" spans="1:10" x14ac:dyDescent="0.2">
      <c r="A121" s="7"/>
      <c r="H121" s="7"/>
      <c r="J121" s="12"/>
    </row>
    <row r="122" spans="1:10" x14ac:dyDescent="0.2">
      <c r="A122" s="7"/>
      <c r="H122" s="7"/>
    </row>
    <row r="123" spans="1:10" x14ac:dyDescent="0.2">
      <c r="A123" s="7"/>
      <c r="H123" s="7"/>
    </row>
    <row r="124" spans="1:10" x14ac:dyDescent="0.2">
      <c r="H124" s="7"/>
    </row>
    <row r="125" spans="1:10" x14ac:dyDescent="0.2">
      <c r="H125" s="7"/>
    </row>
    <row r="126" spans="1:10" x14ac:dyDescent="0.2">
      <c r="H126" s="7"/>
    </row>
    <row r="127" spans="1:10" x14ac:dyDescent="0.2">
      <c r="H127" s="7"/>
    </row>
    <row r="128" spans="1:10" x14ac:dyDescent="0.2">
      <c r="H128" s="7"/>
    </row>
    <row r="129" spans="3:8" x14ac:dyDescent="0.2">
      <c r="H129" s="7"/>
    </row>
    <row r="130" spans="3:8" x14ac:dyDescent="0.2">
      <c r="H130" s="7"/>
    </row>
    <row r="131" spans="3:8" x14ac:dyDescent="0.2">
      <c r="G131" s="7"/>
      <c r="H131" s="7"/>
    </row>
    <row r="132" spans="3:8" x14ac:dyDescent="0.2">
      <c r="G132" s="7"/>
      <c r="H132" s="7"/>
    </row>
    <row r="133" spans="3:8" x14ac:dyDescent="0.2">
      <c r="G133" s="7"/>
      <c r="H133" s="7"/>
    </row>
    <row r="134" spans="3:8" x14ac:dyDescent="0.2">
      <c r="G134" s="7"/>
      <c r="H134" s="7"/>
    </row>
    <row r="135" spans="3:8" x14ac:dyDescent="0.2">
      <c r="G135" s="7"/>
      <c r="H135" s="7"/>
    </row>
    <row r="136" spans="3:8" x14ac:dyDescent="0.2">
      <c r="G136" s="7"/>
      <c r="H136" s="7"/>
    </row>
    <row r="137" spans="3:8" x14ac:dyDescent="0.2">
      <c r="G137" s="7"/>
      <c r="H137" s="7"/>
    </row>
    <row r="138" spans="3:8" x14ac:dyDescent="0.2">
      <c r="G138" s="7"/>
      <c r="H138" s="7"/>
    </row>
    <row r="139" spans="3:8" x14ac:dyDescent="0.2">
      <c r="G139" s="7"/>
    </row>
    <row r="140" spans="3:8" x14ac:dyDescent="0.2">
      <c r="G140" s="7"/>
      <c r="H140" s="7"/>
    </row>
    <row r="141" spans="3:8" x14ac:dyDescent="0.2">
      <c r="C141" s="7"/>
      <c r="G141" s="7"/>
    </row>
    <row r="142" spans="3:8" x14ac:dyDescent="0.2">
      <c r="C142" s="7"/>
      <c r="E142" s="7"/>
      <c r="G142" s="7"/>
      <c r="H142" s="7"/>
    </row>
    <row r="143" spans="3:8" x14ac:dyDescent="0.2">
      <c r="C143" s="7"/>
      <c r="E143" s="7"/>
      <c r="G143" s="7"/>
    </row>
    <row r="144" spans="3:8" x14ac:dyDescent="0.2">
      <c r="C144" s="7"/>
      <c r="G144" s="7"/>
    </row>
    <row r="145" spans="6:7" x14ac:dyDescent="0.2">
      <c r="F145" s="7"/>
      <c r="G145" s="7"/>
    </row>
    <row r="146" spans="6:7" x14ac:dyDescent="0.2">
      <c r="G146" s="7"/>
    </row>
    <row r="147" spans="6:7" x14ac:dyDescent="0.2">
      <c r="G147" s="7"/>
    </row>
    <row r="148" spans="6:7" x14ac:dyDescent="0.2">
      <c r="G148" s="7"/>
    </row>
    <row r="149" spans="6:7" x14ac:dyDescent="0.2">
      <c r="G149" s="7"/>
    </row>
  </sheetData>
  <sortState xmlns:xlrd2="http://schemas.microsoft.com/office/spreadsheetml/2017/richdata2" ref="A3:C62">
    <sortCondition ref="B3:B62"/>
    <sortCondition ref="C3:C62"/>
  </sortState>
  <phoneticPr fontId="0" type="noConversion"/>
  <printOptions gridLines="1" gridLinesSet="0"/>
  <pageMargins left="0.25" right="0.25" top="0.25" bottom="0.25" header="0.33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92"/>
  <sheetViews>
    <sheetView zoomScaleNormal="100" workbookViewId="0">
      <pane xSplit="3" ySplit="2" topLeftCell="F5" activePane="bottomRight" state="frozen"/>
      <selection activeCell="Z77" sqref="Z77"/>
      <selection pane="topRight" activeCell="Z77" sqref="Z77"/>
      <selection pane="bottomLeft" activeCell="Z77" sqref="Z77"/>
      <selection pane="bottomRight" activeCell="Z70" sqref="Z70"/>
    </sheetView>
  </sheetViews>
  <sheetFormatPr defaultRowHeight="12.75" x14ac:dyDescent="0.2"/>
  <cols>
    <col min="1" max="1" width="9.5703125" style="2" hidden="1" customWidth="1"/>
    <col min="2" max="2" width="11.85546875" style="2" bestFit="1" customWidth="1"/>
    <col min="3" max="3" width="11.42578125" style="2" bestFit="1" customWidth="1"/>
    <col min="4" max="4" width="9.140625" style="2"/>
    <col min="5" max="7" width="10.5703125" style="2" customWidth="1"/>
    <col min="8" max="8" width="9.140625" style="2" customWidth="1"/>
    <col min="9" max="10" width="7.5703125" style="2" customWidth="1"/>
    <col min="11" max="16" width="10.140625" style="2" customWidth="1"/>
    <col min="17" max="18" width="11.28515625" style="2" customWidth="1"/>
    <col min="19" max="22" width="10.140625" style="2" customWidth="1"/>
    <col min="23" max="23" width="9.140625" style="2" customWidth="1"/>
    <col min="24" max="24" width="9.5703125" style="2" customWidth="1"/>
    <col min="25" max="25" width="9.140625" style="2" customWidth="1"/>
    <col min="26" max="26" width="11.140625" style="2" customWidth="1"/>
    <col min="27" max="28" width="9.140625" style="2" customWidth="1"/>
    <col min="29" max="16384" width="9.140625" style="2"/>
  </cols>
  <sheetData>
    <row r="1" spans="1:23" ht="14.25" customHeight="1" x14ac:dyDescent="0.2">
      <c r="A1" s="1" t="s">
        <v>16</v>
      </c>
      <c r="B1" s="1" t="s">
        <v>1</v>
      </c>
      <c r="C1" s="1" t="s">
        <v>0</v>
      </c>
      <c r="E1" s="3" t="s">
        <v>27</v>
      </c>
      <c r="F1" s="3" t="s">
        <v>27</v>
      </c>
      <c r="G1" s="3" t="str">
        <f>+F1</f>
        <v>Thursday</v>
      </c>
      <c r="H1" s="3" t="str">
        <f>+I1</f>
        <v>Friday</v>
      </c>
      <c r="I1" s="3" t="s">
        <v>30</v>
      </c>
      <c r="J1" s="3" t="str">
        <f>+I1</f>
        <v>Friday</v>
      </c>
      <c r="K1" s="3" t="str">
        <f>+L1</f>
        <v>Saturday</v>
      </c>
      <c r="L1" s="3" t="s">
        <v>31</v>
      </c>
      <c r="M1" s="3" t="str">
        <f>+L1</f>
        <v>Saturday</v>
      </c>
      <c r="N1" s="3"/>
      <c r="O1" s="3"/>
      <c r="P1" s="3" t="s">
        <v>87</v>
      </c>
      <c r="Q1" s="3"/>
      <c r="R1" s="3"/>
      <c r="S1" s="3"/>
      <c r="T1" s="3" t="s">
        <v>73</v>
      </c>
      <c r="U1" s="3" t="s">
        <v>147</v>
      </c>
      <c r="V1" s="3" t="s">
        <v>146</v>
      </c>
    </row>
    <row r="2" spans="1:23" ht="14.25" customHeight="1" x14ac:dyDescent="0.2">
      <c r="A2" s="1"/>
      <c r="B2" s="1"/>
      <c r="C2" s="1"/>
      <c r="E2" s="5" t="s">
        <v>40</v>
      </c>
      <c r="F2" s="5" t="s">
        <v>28</v>
      </c>
      <c r="G2" s="5" t="s">
        <v>29</v>
      </c>
      <c r="H2" s="5" t="s">
        <v>40</v>
      </c>
      <c r="I2" s="5" t="str">
        <f>+F2</f>
        <v>Skins</v>
      </c>
      <c r="J2" s="5" t="str">
        <f>+G2</f>
        <v>Par 3</v>
      </c>
      <c r="K2" s="5" t="s">
        <v>40</v>
      </c>
      <c r="L2" s="5" t="str">
        <f>+I2</f>
        <v>Skins</v>
      </c>
      <c r="M2" s="5" t="str">
        <f>+J2</f>
        <v>Par 3</v>
      </c>
      <c r="N2" s="5" t="s">
        <v>41</v>
      </c>
      <c r="O2" s="3" t="s">
        <v>35</v>
      </c>
      <c r="P2" s="3" t="s">
        <v>88</v>
      </c>
      <c r="Q2" s="3" t="s">
        <v>78</v>
      </c>
      <c r="R2" s="3" t="s">
        <v>79</v>
      </c>
      <c r="S2" s="3" t="s">
        <v>52</v>
      </c>
      <c r="T2" s="3" t="s">
        <v>162</v>
      </c>
      <c r="U2" s="3" t="s">
        <v>145</v>
      </c>
      <c r="V2" s="3" t="s">
        <v>145</v>
      </c>
      <c r="W2" s="3" t="s">
        <v>34</v>
      </c>
    </row>
    <row r="3" spans="1:23" hidden="1" x14ac:dyDescent="0.2">
      <c r="A3" s="2" t="s">
        <v>71</v>
      </c>
      <c r="B3" s="2" t="str">
        <f>'Mailing list'!B3</f>
        <v>Alford</v>
      </c>
      <c r="C3" s="2" t="str">
        <f>'Mailing list'!C3</f>
        <v>Kyle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">
        <f t="shared" ref="W3:W34" si="0">SUM(E3:V3)</f>
        <v>0</v>
      </c>
    </row>
    <row r="4" spans="1:23" hidden="1" x14ac:dyDescent="0.2">
      <c r="A4" s="2" t="s">
        <v>18</v>
      </c>
      <c r="B4" s="2" t="s">
        <v>125</v>
      </c>
      <c r="C4" s="2" t="s">
        <v>126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>
        <f t="shared" si="0"/>
        <v>0</v>
      </c>
    </row>
    <row r="5" spans="1:23" x14ac:dyDescent="0.2">
      <c r="A5" s="2" t="str">
        <f>'Mailing list'!A5</f>
        <v>Dieterle</v>
      </c>
      <c r="B5" s="2" t="str">
        <f>'Mailing list'!B5</f>
        <v>Blankenburg</v>
      </c>
      <c r="C5" s="2" t="str">
        <f>'Mailing list'!C5</f>
        <v>Jeff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>
        <f t="shared" si="0"/>
        <v>0</v>
      </c>
    </row>
    <row r="6" spans="1:23" hidden="1" x14ac:dyDescent="0.2">
      <c r="A6" s="2" t="s">
        <v>164</v>
      </c>
      <c r="B6" s="2" t="s">
        <v>165</v>
      </c>
      <c r="C6" s="2" t="s">
        <v>82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>
        <f t="shared" si="0"/>
        <v>0</v>
      </c>
    </row>
    <row r="7" spans="1:23" x14ac:dyDescent="0.2">
      <c r="A7" s="2" t="str">
        <f>'Mailing list'!A7</f>
        <v>Patch</v>
      </c>
      <c r="B7" s="2" t="str">
        <f>'Mailing list'!B7</f>
        <v>Boland</v>
      </c>
      <c r="C7" s="2" t="str">
        <f>'Mailing list'!C7</f>
        <v>Pat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>
        <f t="shared" si="0"/>
        <v>0</v>
      </c>
    </row>
    <row r="8" spans="1:23" hidden="1" x14ac:dyDescent="0.2">
      <c r="A8" s="2" t="s">
        <v>17</v>
      </c>
      <c r="B8" s="2" t="s">
        <v>149</v>
      </c>
      <c r="C8" s="2" t="s">
        <v>150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>
        <f t="shared" si="0"/>
        <v>0</v>
      </c>
    </row>
    <row r="9" spans="1:23" x14ac:dyDescent="0.2">
      <c r="A9" s="2" t="s">
        <v>130</v>
      </c>
      <c r="B9" s="2" t="s">
        <v>131</v>
      </c>
      <c r="C9" s="2" t="s">
        <v>121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>
        <f t="shared" si="0"/>
        <v>0</v>
      </c>
    </row>
    <row r="10" spans="1:23" x14ac:dyDescent="0.2">
      <c r="A10" s="2" t="s">
        <v>42</v>
      </c>
      <c r="B10" s="2" t="str">
        <f>'Mailing list'!B10</f>
        <v>Carlstrom</v>
      </c>
      <c r="C10" s="2" t="str">
        <f>'Mailing list'!C10</f>
        <v>Brian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>
        <f t="shared" si="0"/>
        <v>0</v>
      </c>
    </row>
    <row r="11" spans="1:23" hidden="1" x14ac:dyDescent="0.2">
      <c r="A11" s="2" t="s">
        <v>49</v>
      </c>
      <c r="B11" s="2" t="s">
        <v>132</v>
      </c>
      <c r="C11" s="2" t="s">
        <v>133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>
        <f t="shared" si="0"/>
        <v>0</v>
      </c>
    </row>
    <row r="12" spans="1:23" x14ac:dyDescent="0.2">
      <c r="A12" s="2" t="s">
        <v>73</v>
      </c>
      <c r="B12" s="2" t="str">
        <f>'Mailing list'!B12</f>
        <v>Combs</v>
      </c>
      <c r="C12" s="2" t="str">
        <f>'Mailing list'!C12</f>
        <v>Adam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>
        <f t="shared" si="0"/>
        <v>0</v>
      </c>
    </row>
    <row r="13" spans="1:23" x14ac:dyDescent="0.2">
      <c r="B13" s="2" t="str">
        <f>'Mailing list'!B13</f>
        <v>Dosky</v>
      </c>
      <c r="C13" s="2" t="str">
        <f>'Mailing list'!C13</f>
        <v>Rick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>
        <f t="shared" si="0"/>
        <v>0</v>
      </c>
    </row>
    <row r="14" spans="1:23" x14ac:dyDescent="0.2">
      <c r="A14" s="2" t="str">
        <f>'Mailing list'!A14</f>
        <v>Butter</v>
      </c>
      <c r="B14" s="2" t="str">
        <f>'Mailing list'!B14</f>
        <v>Flanagan</v>
      </c>
      <c r="C14" s="2" t="str">
        <f>'Mailing list'!C14</f>
        <v>Brian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>
        <f t="shared" si="0"/>
        <v>0</v>
      </c>
    </row>
    <row r="15" spans="1:23" x14ac:dyDescent="0.2">
      <c r="A15" s="2" t="str">
        <f>'Mailing list'!A15</f>
        <v>Butter</v>
      </c>
      <c r="B15" s="2" t="str">
        <f>'Mailing list'!B15</f>
        <v>Flanagan</v>
      </c>
      <c r="C15" s="2" t="s">
        <v>169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>
        <f t="shared" si="0"/>
        <v>0</v>
      </c>
    </row>
    <row r="16" spans="1:23" x14ac:dyDescent="0.2">
      <c r="A16" s="2" t="str">
        <f>'Mailing list'!A16</f>
        <v>Butter</v>
      </c>
      <c r="B16" s="2" t="str">
        <f>'Mailing list'!B16</f>
        <v>Garrett</v>
      </c>
      <c r="C16" s="2" t="str">
        <f>'Mailing list'!C16</f>
        <v>Greg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>
        <f t="shared" si="0"/>
        <v>0</v>
      </c>
    </row>
    <row r="17" spans="1:23" hidden="1" x14ac:dyDescent="0.2">
      <c r="A17" s="2" t="s">
        <v>69</v>
      </c>
      <c r="B17" s="2" t="str">
        <f>'Mailing list'!B17</f>
        <v>Green</v>
      </c>
      <c r="C17" s="2" t="str">
        <f>'Mailing list'!C17</f>
        <v>Ronell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>
        <f t="shared" si="0"/>
        <v>0</v>
      </c>
    </row>
    <row r="18" spans="1:23" hidden="1" x14ac:dyDescent="0.2">
      <c r="A18" t="s">
        <v>69</v>
      </c>
      <c r="B18" s="2" t="str">
        <f>'Mailing list'!B18</f>
        <v>Green</v>
      </c>
      <c r="C18" s="2" t="str">
        <f>'Mailing list'!C18</f>
        <v>Ronnie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>
        <f t="shared" si="0"/>
        <v>0</v>
      </c>
    </row>
    <row r="19" spans="1:23" hidden="1" x14ac:dyDescent="0.2">
      <c r="A19" t="s">
        <v>57</v>
      </c>
      <c r="B19" s="2" t="str">
        <f>'Mailing list'!B19</f>
        <v>Greene</v>
      </c>
      <c r="C19" s="2" t="str">
        <f>'Mailing list'!C19</f>
        <v>Jon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>
        <f t="shared" si="0"/>
        <v>0</v>
      </c>
    </row>
    <row r="20" spans="1:23" hidden="1" x14ac:dyDescent="0.2">
      <c r="A20" t="s">
        <v>57</v>
      </c>
      <c r="B20" s="2" t="str">
        <f>'Mailing list'!B20</f>
        <v>Granata</v>
      </c>
      <c r="C20" s="2" t="str">
        <f>'Mailing list'!C20</f>
        <v>Joe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>
        <f t="shared" si="0"/>
        <v>0</v>
      </c>
    </row>
    <row r="21" spans="1:23" hidden="1" x14ac:dyDescent="0.2">
      <c r="A21" t="s">
        <v>122</v>
      </c>
      <c r="B21" s="2" t="s">
        <v>123</v>
      </c>
      <c r="C21" s="2" t="s">
        <v>124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>
        <f t="shared" si="0"/>
        <v>0</v>
      </c>
    </row>
    <row r="22" spans="1:23" hidden="1" x14ac:dyDescent="0.2">
      <c r="A22" t="s">
        <v>124</v>
      </c>
      <c r="B22" s="2" t="s">
        <v>123</v>
      </c>
      <c r="C22" s="2" t="s">
        <v>127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>
        <f t="shared" si="0"/>
        <v>0</v>
      </c>
    </row>
    <row r="23" spans="1:23" x14ac:dyDescent="0.2">
      <c r="A23" t="s">
        <v>69</v>
      </c>
      <c r="B23" s="2" t="s">
        <v>119</v>
      </c>
      <c r="C23" s="2" t="s">
        <v>120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>
        <f t="shared" si="0"/>
        <v>0</v>
      </c>
    </row>
    <row r="24" spans="1:23" x14ac:dyDescent="0.2">
      <c r="A24" s="2" t="str">
        <f>'Mailing list'!A24</f>
        <v>Patch</v>
      </c>
      <c r="B24" s="2" t="str">
        <f>'Mailing list'!B24</f>
        <v>Kaniecki</v>
      </c>
      <c r="C24" s="2" t="str">
        <f>'Mailing list'!C24</f>
        <v>Brent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>
        <f t="shared" si="0"/>
        <v>0</v>
      </c>
    </row>
    <row r="25" spans="1:23" x14ac:dyDescent="0.2">
      <c r="A25" s="2" t="str">
        <f>'Mailing list'!A25</f>
        <v>Gstan</v>
      </c>
      <c r="B25" s="2" t="str">
        <f>'Mailing list'!B25</f>
        <v>Kaniecki</v>
      </c>
      <c r="C25" s="2" t="str">
        <f>'Mailing list'!C25</f>
        <v>Eric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>
        <f t="shared" si="0"/>
        <v>0</v>
      </c>
    </row>
    <row r="26" spans="1:23" hidden="1" x14ac:dyDescent="0.2">
      <c r="A26" s="2" t="str">
        <f>'Mailing list'!A26</f>
        <v>Gstan</v>
      </c>
      <c r="B26" s="2" t="str">
        <f>'Mailing list'!B26</f>
        <v>Kaniecki</v>
      </c>
      <c r="C26" s="2" t="s">
        <v>134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>
        <f t="shared" si="0"/>
        <v>0</v>
      </c>
    </row>
    <row r="27" spans="1:23" x14ac:dyDescent="0.2">
      <c r="A27" s="2" t="str">
        <f>'Mailing list'!A27</f>
        <v>Gstan</v>
      </c>
      <c r="B27" s="2" t="str">
        <f>'Mailing list'!B27</f>
        <v>Kaniecki</v>
      </c>
      <c r="C27" s="2" t="str">
        <f>'Mailing list'!C27</f>
        <v>Mark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>
        <f t="shared" si="0"/>
        <v>0</v>
      </c>
    </row>
    <row r="28" spans="1:23" hidden="1" x14ac:dyDescent="0.2">
      <c r="A28" s="2" t="str">
        <f>'Mailing list'!A28</f>
        <v>Gstan</v>
      </c>
      <c r="B28" s="2" t="str">
        <f>'Mailing list'!B28</f>
        <v>Kaniecki</v>
      </c>
      <c r="C28" s="2" t="str">
        <f>'Mailing list'!C28</f>
        <v>Stan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>
        <f t="shared" si="0"/>
        <v>0</v>
      </c>
    </row>
    <row r="29" spans="1:23" x14ac:dyDescent="0.2">
      <c r="A29" s="2" t="s">
        <v>83</v>
      </c>
      <c r="B29" s="2" t="str">
        <f>'Mailing list'!B29</f>
        <v>Kassap</v>
      </c>
      <c r="C29" s="2" t="str">
        <f>'Mailing list'!C29</f>
        <v>Grant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>
        <f t="shared" si="0"/>
        <v>0</v>
      </c>
    </row>
    <row r="30" spans="1:23" hidden="1" x14ac:dyDescent="0.2">
      <c r="A30" s="2" t="s">
        <v>18</v>
      </c>
      <c r="B30" s="2" t="s">
        <v>166</v>
      </c>
      <c r="C30" s="2" t="s">
        <v>167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>
        <f t="shared" si="0"/>
        <v>0</v>
      </c>
    </row>
    <row r="31" spans="1:23" x14ac:dyDescent="0.2">
      <c r="A31" s="2" t="s">
        <v>128</v>
      </c>
      <c r="B31" s="2" t="s">
        <v>129</v>
      </c>
      <c r="C31" s="2" t="s">
        <v>121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>
        <f t="shared" si="0"/>
        <v>0</v>
      </c>
    </row>
    <row r="32" spans="1:23" x14ac:dyDescent="0.2">
      <c r="A32" s="2" t="s">
        <v>45</v>
      </c>
      <c r="B32" s="2" t="s">
        <v>173</v>
      </c>
      <c r="C32" s="2" t="s">
        <v>59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>
        <f t="shared" si="0"/>
        <v>0</v>
      </c>
    </row>
    <row r="33" spans="1:23" hidden="1" x14ac:dyDescent="0.2">
      <c r="A33" s="2" t="s">
        <v>42</v>
      </c>
      <c r="B33" s="2" t="s">
        <v>151</v>
      </c>
      <c r="C33" s="2" t="s">
        <v>152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>
        <f t="shared" si="0"/>
        <v>0</v>
      </c>
    </row>
    <row r="34" spans="1:23" hidden="1" x14ac:dyDescent="0.2">
      <c r="A34" s="2" t="s">
        <v>19</v>
      </c>
      <c r="B34" s="2" t="str">
        <f>'Mailing list'!B34</f>
        <v>Long</v>
      </c>
      <c r="C34" s="2" t="str">
        <f>'Mailing list'!C34</f>
        <v>Greg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>
        <f t="shared" si="0"/>
        <v>0</v>
      </c>
    </row>
    <row r="35" spans="1:23" x14ac:dyDescent="0.2">
      <c r="A35" s="2" t="str">
        <f>'Mailing list'!A35</f>
        <v>Sheik</v>
      </c>
      <c r="B35" s="2" t="str">
        <f>'Mailing list'!B35</f>
        <v>Long</v>
      </c>
      <c r="C35" s="2" t="str">
        <f>'Mailing list'!C35</f>
        <v>Mike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>
        <f t="shared" ref="W35:W65" si="1">SUM(E35:V35)</f>
        <v>0</v>
      </c>
    </row>
    <row r="36" spans="1:23" hidden="1" x14ac:dyDescent="0.2">
      <c r="A36" s="2" t="s">
        <v>164</v>
      </c>
      <c r="B36" s="2" t="str">
        <f>'Mailing list'!B36</f>
        <v>Long</v>
      </c>
      <c r="C36" s="2" t="s">
        <v>120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>
        <f t="shared" si="1"/>
        <v>0</v>
      </c>
    </row>
    <row r="37" spans="1:23" ht="14.25" customHeight="1" x14ac:dyDescent="0.2">
      <c r="A37" s="2" t="str">
        <f>'Mailing list'!A37</f>
        <v>Butter</v>
      </c>
      <c r="B37" s="2" t="str">
        <f>'Mailing list'!B37</f>
        <v>Lyme</v>
      </c>
      <c r="C37" s="2" t="str">
        <f>'Mailing list'!C37</f>
        <v>Brett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>
        <f t="shared" si="1"/>
        <v>0</v>
      </c>
    </row>
    <row r="38" spans="1:23" hidden="1" x14ac:dyDescent="0.2">
      <c r="A38" s="2" t="s">
        <v>19</v>
      </c>
      <c r="B38" s="2" t="str">
        <f>'Mailing list'!B38</f>
        <v>Marshall</v>
      </c>
      <c r="C38" s="2" t="str">
        <f>'Mailing list'!C38</f>
        <v>Al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>
        <f t="shared" si="1"/>
        <v>0</v>
      </c>
    </row>
    <row r="39" spans="1:23" x14ac:dyDescent="0.2">
      <c r="A39" s="2" t="s">
        <v>36</v>
      </c>
      <c r="B39" s="2" t="str">
        <f>'Mailing list'!B39</f>
        <v>McFarland</v>
      </c>
      <c r="C39" s="2" t="str">
        <f>'Mailing list'!C39</f>
        <v>Don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>
        <f t="shared" si="1"/>
        <v>0</v>
      </c>
    </row>
    <row r="40" spans="1:23" hidden="1" x14ac:dyDescent="0.2">
      <c r="A40" s="2" t="s">
        <v>19</v>
      </c>
      <c r="B40" s="2" t="str">
        <f>'Mailing list'!B40</f>
        <v>Melick</v>
      </c>
      <c r="C40" s="2" t="str">
        <f>'Mailing list'!C40</f>
        <v>Eric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>
        <f t="shared" si="1"/>
        <v>0</v>
      </c>
    </row>
    <row r="41" spans="1:23" x14ac:dyDescent="0.2">
      <c r="A41" s="2" t="e">
        <f>'Mailing list'!#REF!</f>
        <v>#REF!</v>
      </c>
      <c r="B41" s="2" t="str">
        <f>'Mailing list'!B41</f>
        <v>Miller</v>
      </c>
      <c r="C41" s="2" t="str">
        <f>'Mailing list'!C41</f>
        <v>Christian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>
        <f t="shared" si="1"/>
        <v>0</v>
      </c>
    </row>
    <row r="42" spans="1:23" hidden="1" x14ac:dyDescent="0.2">
      <c r="A42" s="2" t="s">
        <v>42</v>
      </c>
      <c r="B42" s="2" t="str">
        <f>'Mailing list'!B42</f>
        <v>Montgomery</v>
      </c>
      <c r="C42" s="2" t="s">
        <v>121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>
        <f t="shared" si="1"/>
        <v>0</v>
      </c>
    </row>
    <row r="43" spans="1:23" x14ac:dyDescent="0.2">
      <c r="A43" s="2" t="s">
        <v>42</v>
      </c>
      <c r="B43" s="2" t="str">
        <f>'Mailing list'!B43</f>
        <v>Montgomery</v>
      </c>
      <c r="C43" s="2" t="str">
        <f>'Mailing list'!C43</f>
        <v>Mark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>
        <f t="shared" si="1"/>
        <v>0</v>
      </c>
    </row>
    <row r="44" spans="1:23" hidden="1" x14ac:dyDescent="0.2">
      <c r="A44" s="2" t="s">
        <v>42</v>
      </c>
      <c r="B44" s="2" t="str">
        <f>'Mailing list'!B44</f>
        <v>Moore</v>
      </c>
      <c r="C44" s="2" t="str">
        <f>'Mailing list'!C44</f>
        <v>Jeff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>
        <f t="shared" si="1"/>
        <v>0</v>
      </c>
    </row>
    <row r="45" spans="1:23" x14ac:dyDescent="0.2">
      <c r="A45" s="2" t="s">
        <v>71</v>
      </c>
      <c r="B45" s="2" t="str">
        <f>'Mailing list'!B45</f>
        <v>Mullins</v>
      </c>
      <c r="C45" s="2" t="str">
        <f>'Mailing list'!C45</f>
        <v>Kevin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>
        <f t="shared" si="1"/>
        <v>0</v>
      </c>
    </row>
    <row r="46" spans="1:23" x14ac:dyDescent="0.2">
      <c r="A46" s="2" t="s">
        <v>71</v>
      </c>
      <c r="B46" s="2" t="str">
        <f>'Mailing list'!B46</f>
        <v>Mullins</v>
      </c>
      <c r="C46" s="2" t="s">
        <v>142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>
        <f t="shared" si="1"/>
        <v>0</v>
      </c>
    </row>
    <row r="47" spans="1:23" hidden="1" x14ac:dyDescent="0.2">
      <c r="A47" s="2" t="s">
        <v>7</v>
      </c>
      <c r="B47" s="2" t="str">
        <f>'Mailing list'!B47</f>
        <v>Palazzolo</v>
      </c>
      <c r="C47" s="2" t="str">
        <f>'Mailing list'!C47</f>
        <v>Sal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>
        <f t="shared" si="1"/>
        <v>0</v>
      </c>
    </row>
    <row r="48" spans="1:23" x14ac:dyDescent="0.2">
      <c r="A48" s="2" t="s">
        <v>19</v>
      </c>
      <c r="B48" s="2" t="str">
        <f>'Mailing list'!B48</f>
        <v>Pagett</v>
      </c>
      <c r="C48" s="2" t="str">
        <f>'Mailing list'!C48</f>
        <v>Ken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>
        <f t="shared" si="1"/>
        <v>0</v>
      </c>
    </row>
    <row r="49" spans="1:23" x14ac:dyDescent="0.2">
      <c r="A49" s="2" t="s">
        <v>17</v>
      </c>
      <c r="B49" s="2" t="str">
        <f>'Mailing list'!B49</f>
        <v>Schoellman</v>
      </c>
      <c r="C49" s="2" t="str">
        <f>'Mailing list'!C49</f>
        <v>Walt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>
        <f t="shared" si="1"/>
        <v>0</v>
      </c>
    </row>
    <row r="50" spans="1:23" x14ac:dyDescent="0.2">
      <c r="A50" s="2" t="s">
        <v>17</v>
      </c>
      <c r="B50" s="2" t="s">
        <v>172</v>
      </c>
      <c r="C50" s="2" t="s">
        <v>12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>
        <f t="shared" si="1"/>
        <v>0</v>
      </c>
    </row>
    <row r="51" spans="1:23" hidden="1" x14ac:dyDescent="0.2">
      <c r="A51" s="2" t="str">
        <f>'Mailing list'!A51</f>
        <v>Gus</v>
      </c>
      <c r="B51" s="2" t="str">
        <f>'Mailing list'!B51</f>
        <v>Sokos</v>
      </c>
      <c r="C51" s="2" t="str">
        <f>'Mailing list'!C51</f>
        <v>Gus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>
        <f t="shared" si="1"/>
        <v>0</v>
      </c>
    </row>
    <row r="52" spans="1:23" hidden="1" x14ac:dyDescent="0.2">
      <c r="A52" s="2" t="s">
        <v>130</v>
      </c>
      <c r="B52" s="2" t="s">
        <v>153</v>
      </c>
      <c r="C52" s="2" t="s">
        <v>15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>
        <f t="shared" si="1"/>
        <v>0</v>
      </c>
    </row>
    <row r="53" spans="1:23" hidden="1" x14ac:dyDescent="0.2">
      <c r="A53" s="2" t="s">
        <v>130</v>
      </c>
      <c r="B53" s="2" t="s">
        <v>153</v>
      </c>
      <c r="C53" s="2" t="s">
        <v>127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>
        <f t="shared" si="1"/>
        <v>0</v>
      </c>
    </row>
    <row r="54" spans="1:23" x14ac:dyDescent="0.2">
      <c r="A54" s="2" t="str">
        <f>'Mailing list'!A54</f>
        <v>Gstan</v>
      </c>
      <c r="B54" s="2" t="str">
        <f>'Mailing list'!B54</f>
        <v>Syzmonski</v>
      </c>
      <c r="C54" s="2" t="str">
        <f>'Mailing list'!C54</f>
        <v>Bill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>
        <f t="shared" si="1"/>
        <v>0</v>
      </c>
    </row>
    <row r="55" spans="1:23" x14ac:dyDescent="0.2">
      <c r="A55" s="2" t="str">
        <f>'Mailing list'!A55</f>
        <v>JT</v>
      </c>
      <c r="B55" s="2" t="str">
        <f>'Mailing list'!B55</f>
        <v>Thomas</v>
      </c>
      <c r="C55" s="2" t="s">
        <v>163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>
        <f t="shared" si="1"/>
        <v>0</v>
      </c>
    </row>
    <row r="56" spans="1:23" x14ac:dyDescent="0.2">
      <c r="A56" s="2" t="str">
        <f>'Mailing list'!A56</f>
        <v>JT</v>
      </c>
      <c r="B56" s="2" t="str">
        <f>'Mailing list'!B56</f>
        <v>Thomas</v>
      </c>
      <c r="C56" s="2" t="str">
        <f>'Mailing list'!C56</f>
        <v>James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>
        <f t="shared" si="1"/>
        <v>0</v>
      </c>
    </row>
    <row r="57" spans="1:23" x14ac:dyDescent="0.2">
      <c r="A57" s="2" t="str">
        <f>'Mailing list'!A57</f>
        <v>Quack</v>
      </c>
      <c r="B57" s="2" t="s">
        <v>170</v>
      </c>
      <c r="C57" s="2" t="s">
        <v>171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>
        <f t="shared" si="1"/>
        <v>0</v>
      </c>
    </row>
    <row r="58" spans="1:23" x14ac:dyDescent="0.2">
      <c r="A58" s="2" t="s">
        <v>42</v>
      </c>
      <c r="B58" s="2" t="s">
        <v>174</v>
      </c>
      <c r="C58" s="2" t="s">
        <v>175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>
        <f t="shared" si="1"/>
        <v>0</v>
      </c>
    </row>
    <row r="59" spans="1:23" x14ac:dyDescent="0.2">
      <c r="A59" s="2" t="str">
        <f>'Mailing list'!A59</f>
        <v>Quack</v>
      </c>
      <c r="B59" s="2" t="str">
        <f>'Mailing list'!B59</f>
        <v>Watson</v>
      </c>
      <c r="C59" s="2" t="str">
        <f>'Mailing list'!C59</f>
        <v>Brian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>
        <f t="shared" si="1"/>
        <v>0</v>
      </c>
    </row>
    <row r="60" spans="1:23" x14ac:dyDescent="0.2">
      <c r="A60" s="2" t="str">
        <f>'Mailing list'!A60</f>
        <v>Butter</v>
      </c>
      <c r="B60" s="2" t="str">
        <f>'Mailing list'!B60</f>
        <v>Watson</v>
      </c>
      <c r="C60" s="2" t="str">
        <f>'Mailing list'!C60</f>
        <v>Jason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>
        <f t="shared" si="1"/>
        <v>0</v>
      </c>
    </row>
    <row r="61" spans="1:23" x14ac:dyDescent="0.2">
      <c r="B61" s="2" t="str">
        <f>'Mailing list'!B61</f>
        <v>White</v>
      </c>
      <c r="C61" s="2" t="str">
        <f>'Mailing list'!C61</f>
        <v>Aaron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>
        <f t="shared" si="1"/>
        <v>0</v>
      </c>
    </row>
    <row r="62" spans="1:23" x14ac:dyDescent="0.2">
      <c r="A62" s="2" t="s">
        <v>111</v>
      </c>
      <c r="B62" s="2" t="str">
        <f>'Mailing list'!B62</f>
        <v>White</v>
      </c>
      <c r="C62" s="2" t="s">
        <v>112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>
        <f t="shared" si="1"/>
        <v>0</v>
      </c>
    </row>
    <row r="63" spans="1:23" hidden="1" x14ac:dyDescent="0.2">
      <c r="A63" s="2" t="s">
        <v>73</v>
      </c>
      <c r="B63" s="2" t="str">
        <f>'Mailing list'!B63</f>
        <v>White</v>
      </c>
      <c r="C63" s="2" t="s">
        <v>65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>
        <f t="shared" si="1"/>
        <v>0</v>
      </c>
    </row>
    <row r="64" spans="1:23" x14ac:dyDescent="0.2">
      <c r="A64" s="2" t="s">
        <v>143</v>
      </c>
      <c r="B64" s="2" t="s">
        <v>144</v>
      </c>
      <c r="C64" s="2" t="s">
        <v>25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>
        <f t="shared" si="1"/>
        <v>0</v>
      </c>
    </row>
    <row r="65" spans="1:29" hidden="1" x14ac:dyDescent="0.2">
      <c r="A65" s="2" t="s">
        <v>42</v>
      </c>
      <c r="B65" s="2" t="str">
        <f>'Mailing list'!B65</f>
        <v>Young</v>
      </c>
      <c r="C65" s="2" t="str">
        <f>'Mailing list'!C65</f>
        <v>Mark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>
        <f t="shared" si="1"/>
        <v>0</v>
      </c>
    </row>
    <row r="66" spans="1:29" x14ac:dyDescent="0.2">
      <c r="A66"/>
      <c r="F66" s="6"/>
      <c r="G66" s="6"/>
      <c r="I66" s="6"/>
      <c r="J66" s="6"/>
      <c r="K66" s="6"/>
    </row>
    <row r="67" spans="1:29" x14ac:dyDescent="0.2">
      <c r="B67" t="s">
        <v>32</v>
      </c>
      <c r="E67" s="4">
        <f>COUNTIF(E3:E66,"10")</f>
        <v>0</v>
      </c>
      <c r="F67" s="4">
        <f>COUNTIF(F3:F65, "10")</f>
        <v>0</v>
      </c>
      <c r="G67" s="4">
        <f>COUNTIF(G3:G65, "5")</f>
        <v>0</v>
      </c>
      <c r="H67" s="4">
        <f>COUNTIF(H3:H65, "10")</f>
        <v>0</v>
      </c>
      <c r="I67" s="4">
        <f>COUNTIF(I3:I65, "10")</f>
        <v>0</v>
      </c>
      <c r="J67" s="4">
        <f>COUNTIF(J3:J65, "5")</f>
        <v>0</v>
      </c>
      <c r="K67" s="4">
        <f>COUNTIF(K3:K65, "10")</f>
        <v>0</v>
      </c>
      <c r="L67" s="4">
        <f>COUNTIF(L3:L65, "10")</f>
        <v>0</v>
      </c>
      <c r="M67" s="4">
        <f>COUNTIF(M3:M65, "5")</f>
        <v>0</v>
      </c>
      <c r="N67" s="4">
        <f>COUNTIF(N3:N65, "10")</f>
        <v>0</v>
      </c>
      <c r="O67" s="4">
        <f>COUNTIF(O3:O65, "10")</f>
        <v>0</v>
      </c>
      <c r="P67" s="4">
        <f>COUNTIF(P3:P65, "45")</f>
        <v>0</v>
      </c>
      <c r="Q67" s="4">
        <f>COUNTIF(Q3:Q65, "15")</f>
        <v>0</v>
      </c>
      <c r="R67" s="4">
        <f>COUNTIF(R3:R65, "15")</f>
        <v>0</v>
      </c>
      <c r="S67" s="4">
        <f>COUNTIF(S3:S65, "5")</f>
        <v>0</v>
      </c>
      <c r="T67" s="4">
        <f>COUNTIF(T3:T65, "10")</f>
        <v>0</v>
      </c>
      <c r="U67" s="4">
        <f>COUNTIF(U3:U65, "65")</f>
        <v>0</v>
      </c>
      <c r="V67" s="4">
        <f>COUNTIF(V3:V65, "80")</f>
        <v>0</v>
      </c>
      <c r="W67" s="2">
        <f>SUM(W2:W66)</f>
        <v>0</v>
      </c>
      <c r="Y67" s="2">
        <f>W67-P63*P67</f>
        <v>0</v>
      </c>
    </row>
    <row r="68" spans="1:29" x14ac:dyDescent="0.2">
      <c r="F68" s="6"/>
      <c r="G68" s="6"/>
      <c r="I68" s="6"/>
      <c r="J68" s="6"/>
      <c r="K68" s="6"/>
    </row>
    <row r="69" spans="1:29" x14ac:dyDescent="0.2">
      <c r="F69" s="6"/>
      <c r="G69" s="6"/>
      <c r="I69" s="6"/>
      <c r="J69" s="6"/>
      <c r="K69" s="6"/>
      <c r="Z69" s="2" t="s">
        <v>239</v>
      </c>
    </row>
    <row r="70" spans="1:29" x14ac:dyDescent="0.2">
      <c r="B70" s="2" t="s">
        <v>238</v>
      </c>
      <c r="C70" s="2">
        <v>100</v>
      </c>
      <c r="F70" s="6"/>
      <c r="G70" s="6"/>
      <c r="I70" s="6"/>
      <c r="J70" s="6"/>
      <c r="K70" s="6"/>
      <c r="W70" s="2">
        <f>SUM(E70:V70)</f>
        <v>0</v>
      </c>
      <c r="Y70" s="2">
        <f>W70*C70</f>
        <v>0</v>
      </c>
      <c r="Z70" s="2">
        <v>400</v>
      </c>
      <c r="AA70" s="2">
        <f>+Y70-Z70</f>
        <v>-400</v>
      </c>
      <c r="AC70" s="2">
        <f>+AA70+AB70</f>
        <v>-400</v>
      </c>
    </row>
    <row r="71" spans="1:29" x14ac:dyDescent="0.2">
      <c r="C71" s="2">
        <v>50</v>
      </c>
      <c r="F71" s="6"/>
      <c r="W71" s="2">
        <f>SUM(E71:V71)</f>
        <v>0</v>
      </c>
      <c r="Y71" s="2">
        <f>W71*C71</f>
        <v>0</v>
      </c>
      <c r="Z71" s="2">
        <v>100</v>
      </c>
      <c r="AA71" s="2">
        <f>+Y71-Z71</f>
        <v>-100</v>
      </c>
      <c r="AC71" s="2">
        <f>+AA71+AB71</f>
        <v>-100</v>
      </c>
    </row>
    <row r="72" spans="1:29" x14ac:dyDescent="0.2">
      <c r="C72" s="2">
        <v>20</v>
      </c>
      <c r="W72" s="2">
        <f>SUM(E72:V72)</f>
        <v>0</v>
      </c>
      <c r="Y72" s="2">
        <f>W72*C72</f>
        <v>0</v>
      </c>
      <c r="Z72" s="2">
        <v>240</v>
      </c>
      <c r="AA72" s="2">
        <f>+Y72-Z72</f>
        <v>-240</v>
      </c>
      <c r="AB72" s="2">
        <v>340</v>
      </c>
      <c r="AC72" s="2">
        <f>+AA72+AB72</f>
        <v>100</v>
      </c>
    </row>
    <row r="73" spans="1:29" x14ac:dyDescent="0.2">
      <c r="C73" s="2">
        <v>10</v>
      </c>
      <c r="W73" s="2">
        <f>SUM(E73:V73)</f>
        <v>0</v>
      </c>
      <c r="Y73" s="2">
        <f>W73*C73</f>
        <v>0</v>
      </c>
      <c r="Z73" s="2">
        <v>120</v>
      </c>
      <c r="AA73" s="2">
        <f>+Y73-Z73</f>
        <v>-120</v>
      </c>
      <c r="AC73" s="2">
        <f>+AA73+AB73</f>
        <v>-120</v>
      </c>
    </row>
    <row r="74" spans="1:29" x14ac:dyDescent="0.2">
      <c r="C74" s="2">
        <v>5</v>
      </c>
      <c r="W74" s="2">
        <f>SUM(E74:V74)</f>
        <v>0</v>
      </c>
      <c r="Y74" s="2">
        <f>W74*C74</f>
        <v>0</v>
      </c>
      <c r="AA74" s="2">
        <f>+Y74-Z74</f>
        <v>0</v>
      </c>
      <c r="AB74" s="2">
        <v>40</v>
      </c>
      <c r="AC74" s="2">
        <f>+AA74+AB74</f>
        <v>40</v>
      </c>
    </row>
    <row r="76" spans="1:29" x14ac:dyDescent="0.2">
      <c r="E76" s="2">
        <f t="shared" ref="E76:U76" si="2">+E70*100+E71*50+E72*20+E73*10+E74*5</f>
        <v>0</v>
      </c>
      <c r="F76" s="2">
        <f t="shared" si="2"/>
        <v>0</v>
      </c>
      <c r="G76" s="2">
        <f t="shared" si="2"/>
        <v>0</v>
      </c>
      <c r="H76" s="2">
        <f t="shared" si="2"/>
        <v>0</v>
      </c>
      <c r="I76" s="2">
        <f t="shared" si="2"/>
        <v>0</v>
      </c>
      <c r="J76" s="2">
        <f t="shared" si="2"/>
        <v>0</v>
      </c>
      <c r="K76" s="2">
        <f t="shared" si="2"/>
        <v>0</v>
      </c>
      <c r="L76" s="2">
        <f t="shared" si="2"/>
        <v>0</v>
      </c>
      <c r="M76" s="2">
        <f t="shared" si="2"/>
        <v>0</v>
      </c>
      <c r="N76" s="2">
        <f t="shared" si="2"/>
        <v>0</v>
      </c>
      <c r="O76" s="2">
        <f t="shared" si="2"/>
        <v>0</v>
      </c>
      <c r="Q76" s="2">
        <f>+Q70*100+Q71*50+Q72*20+Q73*10+Q74*5</f>
        <v>0</v>
      </c>
      <c r="R76" s="2">
        <f t="shared" si="2"/>
        <v>0</v>
      </c>
      <c r="S76" s="2">
        <f>+S70*100+S71*50+S72*20+S73*10+S74*5</f>
        <v>0</v>
      </c>
      <c r="T76" s="2">
        <f>+T70*100+T71*50+T72*20+T73*10+T74*5</f>
        <v>0</v>
      </c>
      <c r="U76" s="2">
        <f t="shared" si="2"/>
        <v>0</v>
      </c>
      <c r="V76" s="2">
        <f>+V70*100+V71*50+V72*20+V73*10+V74*5</f>
        <v>0</v>
      </c>
      <c r="W76" s="2">
        <f>+W70*100+W71*50+W72*20+W73*10+W74*5</f>
        <v>0</v>
      </c>
      <c r="Y76" s="2">
        <f>SUM(Y70:Y75)</f>
        <v>0</v>
      </c>
      <c r="Z76" s="2">
        <f>SUM(Z70:Z74)</f>
        <v>860</v>
      </c>
      <c r="AA76" s="2">
        <f>SUM(AA70:AA74)</f>
        <v>-860</v>
      </c>
      <c r="AC76" s="2">
        <f>SUM(AC70:AC74)</f>
        <v>-480</v>
      </c>
    </row>
    <row r="77" spans="1:29" x14ac:dyDescent="0.2">
      <c r="Y77" s="2">
        <v>380</v>
      </c>
      <c r="AA77" s="2">
        <f>+Y77-Z77</f>
        <v>380</v>
      </c>
    </row>
    <row r="78" spans="1:29" x14ac:dyDescent="0.2">
      <c r="E78" s="2">
        <f>+E67*10-E76</f>
        <v>0</v>
      </c>
      <c r="F78" s="2">
        <f>+F67*10-F76</f>
        <v>0</v>
      </c>
      <c r="G78" s="2">
        <f t="shared" ref="G78:M78" si="3">+G67*5-G76</f>
        <v>0</v>
      </c>
      <c r="H78" s="2">
        <f>+H67*10-H76</f>
        <v>0</v>
      </c>
      <c r="I78" s="2">
        <f>+I67*10-I76</f>
        <v>0</v>
      </c>
      <c r="J78" s="2">
        <f t="shared" si="3"/>
        <v>0</v>
      </c>
      <c r="K78" s="2">
        <f>+K67*10-K76</f>
        <v>0</v>
      </c>
      <c r="L78" s="2">
        <f>+L67*10-L76</f>
        <v>0</v>
      </c>
      <c r="M78" s="2">
        <f t="shared" si="3"/>
        <v>0</v>
      </c>
      <c r="N78" s="2">
        <f>+N67*10-N76</f>
        <v>0</v>
      </c>
      <c r="O78" s="2">
        <f>+O67*10-O76</f>
        <v>0</v>
      </c>
      <c r="Q78" s="2">
        <f>SUM(Q3:Q65)-Q76</f>
        <v>0</v>
      </c>
      <c r="R78" s="2">
        <f>SUM(R3:R65)-R76</f>
        <v>0</v>
      </c>
      <c r="S78" s="2">
        <f>+S67*5-S76</f>
        <v>0</v>
      </c>
      <c r="T78" s="2">
        <f>+T67*10-T76</f>
        <v>0</v>
      </c>
      <c r="Y78" s="2">
        <f>+Y76+Y77</f>
        <v>380</v>
      </c>
      <c r="Z78" s="2">
        <f>+Z76+Z77</f>
        <v>860</v>
      </c>
      <c r="AA78" s="2">
        <f>+AA76+AA77</f>
        <v>-480</v>
      </c>
      <c r="AC78" s="2">
        <f>+AC76+AC77</f>
        <v>-480</v>
      </c>
    </row>
    <row r="80" spans="1:29" x14ac:dyDescent="0.2">
      <c r="Q80" s="2">
        <v>115</v>
      </c>
      <c r="R80" s="2">
        <v>185</v>
      </c>
    </row>
    <row r="81" spans="7:18" x14ac:dyDescent="0.2">
      <c r="G81" s="7"/>
      <c r="J81" s="7"/>
      <c r="M81" s="7"/>
      <c r="Q81" s="2">
        <v>120</v>
      </c>
      <c r="R81" s="2">
        <v>200</v>
      </c>
    </row>
    <row r="82" spans="7:18" x14ac:dyDescent="0.2">
      <c r="G82" s="7"/>
      <c r="J82" s="7"/>
      <c r="M82" s="7"/>
      <c r="Q82" s="2">
        <v>120</v>
      </c>
      <c r="R82" s="2">
        <v>190</v>
      </c>
    </row>
    <row r="83" spans="7:18" x14ac:dyDescent="0.2">
      <c r="G83" s="7"/>
      <c r="J83" s="7"/>
      <c r="M83" s="7"/>
    </row>
    <row r="84" spans="7:18" x14ac:dyDescent="0.2">
      <c r="J84" s="7"/>
      <c r="M84" s="7"/>
    </row>
    <row r="85" spans="7:18" x14ac:dyDescent="0.2">
      <c r="M85" s="7"/>
    </row>
    <row r="86" spans="7:18" x14ac:dyDescent="0.2">
      <c r="G86" s="7"/>
      <c r="J86" s="7"/>
      <c r="M86" s="7"/>
    </row>
    <row r="87" spans="7:18" x14ac:dyDescent="0.2">
      <c r="M87" s="7"/>
    </row>
    <row r="88" spans="7:18" x14ac:dyDescent="0.2">
      <c r="M88" s="7"/>
    </row>
    <row r="89" spans="7:18" x14ac:dyDescent="0.2">
      <c r="M89" s="7"/>
    </row>
    <row r="90" spans="7:18" x14ac:dyDescent="0.2">
      <c r="M90" s="7"/>
    </row>
    <row r="91" spans="7:18" x14ac:dyDescent="0.2">
      <c r="M91" s="7"/>
    </row>
    <row r="92" spans="7:18" x14ac:dyDescent="0.2">
      <c r="M92" s="7"/>
    </row>
  </sheetData>
  <phoneticPr fontId="0" type="noConversion"/>
  <printOptions gridLines="1"/>
  <pageMargins left="0.25" right="0.25" top="0.5" bottom="0.5" header="0.5" footer="0.5"/>
  <pageSetup scale="58" orientation="landscape" r:id="rId1"/>
  <headerFooter alignWithMargins="0"/>
  <ignoredErrors>
    <ignoredError sqref="G67:H67 J67 M6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964C-AF99-433D-9801-464F1DCC7A8A}">
  <dimension ref="O23:O25"/>
  <sheetViews>
    <sheetView workbookViewId="0">
      <selection activeCell="E35" sqref="E35"/>
    </sheetView>
  </sheetViews>
  <sheetFormatPr defaultRowHeight="12.75" x14ac:dyDescent="0.2"/>
  <cols>
    <col min="15" max="15" width="10" bestFit="1" customWidth="1"/>
  </cols>
  <sheetData>
    <row r="23" spans="15:15" x14ac:dyDescent="0.2">
      <c r="O23" s="11"/>
    </row>
    <row r="24" spans="15:15" x14ac:dyDescent="0.2">
      <c r="O24" s="11"/>
    </row>
    <row r="25" spans="15:15" x14ac:dyDescent="0.2">
      <c r="O25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AD39"/>
  <sheetViews>
    <sheetView workbookViewId="0">
      <selection activeCell="R16" sqref="R16"/>
    </sheetView>
  </sheetViews>
  <sheetFormatPr defaultRowHeight="12.75" x14ac:dyDescent="0.2"/>
  <cols>
    <col min="1" max="1" width="9.140625" style="14"/>
    <col min="2" max="2" width="2.85546875" style="14" customWidth="1"/>
    <col min="3" max="16" width="10.28515625" style="14" hidden="1" customWidth="1"/>
    <col min="17" max="17" width="12.140625" style="14" bestFit="1" customWidth="1"/>
    <col min="18" max="16384" width="9.140625" style="14"/>
  </cols>
  <sheetData>
    <row r="6" spans="1:24" x14ac:dyDescent="0.2">
      <c r="C6" s="10" t="s">
        <v>176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24" x14ac:dyDescent="0.2">
      <c r="A7"/>
      <c r="B7"/>
      <c r="C7" s="9" t="s">
        <v>95</v>
      </c>
      <c r="D7" s="9" t="s">
        <v>96</v>
      </c>
      <c r="E7" s="9" t="s">
        <v>97</v>
      </c>
      <c r="F7" s="9" t="s">
        <v>98</v>
      </c>
      <c r="G7" s="9" t="s">
        <v>99</v>
      </c>
      <c r="H7" s="9" t="s">
        <v>100</v>
      </c>
      <c r="I7" s="9" t="s">
        <v>101</v>
      </c>
      <c r="J7" s="9" t="s">
        <v>102</v>
      </c>
      <c r="K7" s="9" t="s">
        <v>103</v>
      </c>
      <c r="L7" s="9" t="s">
        <v>104</v>
      </c>
      <c r="M7" s="9" t="s">
        <v>105</v>
      </c>
      <c r="N7" s="9" t="s">
        <v>106</v>
      </c>
      <c r="O7" s="9" t="s">
        <v>107</v>
      </c>
      <c r="P7" s="9" t="s">
        <v>177</v>
      </c>
      <c r="Q7" s="9" t="s">
        <v>178</v>
      </c>
      <c r="R7" s="9" t="s">
        <v>108</v>
      </c>
      <c r="S7" s="9" t="s">
        <v>34</v>
      </c>
      <c r="T7"/>
      <c r="U7"/>
    </row>
    <row r="8" spans="1:24" x14ac:dyDescent="0.2">
      <c r="A8" t="s">
        <v>93</v>
      </c>
      <c r="B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f>SUM(C8:P8)</f>
        <v>0</v>
      </c>
      <c r="R8" s="8">
        <v>300</v>
      </c>
      <c r="S8" s="8">
        <f>Q8+R8</f>
        <v>300</v>
      </c>
      <c r="T8"/>
      <c r="U8"/>
    </row>
    <row r="9" spans="1:24" x14ac:dyDescent="0.2">
      <c r="A9" t="s">
        <v>42</v>
      </c>
      <c r="B9"/>
      <c r="C9" s="8"/>
      <c r="D9" s="8"/>
      <c r="E9" s="8"/>
      <c r="F9" s="8"/>
      <c r="G9" s="8">
        <v>30</v>
      </c>
      <c r="H9" s="8"/>
      <c r="I9" s="8"/>
      <c r="J9" s="8"/>
      <c r="K9" s="8"/>
      <c r="L9" s="8"/>
      <c r="M9" s="8"/>
      <c r="N9" s="8"/>
      <c r="O9" s="8"/>
      <c r="P9" s="8"/>
      <c r="Q9" s="8">
        <f t="shared" ref="Q9:Q19" si="0">SUM(C9:P9)</f>
        <v>30</v>
      </c>
      <c r="R9" s="8"/>
      <c r="S9" s="8">
        <f t="shared" ref="S9:S19" si="1">Q9+R9</f>
        <v>30</v>
      </c>
      <c r="T9"/>
      <c r="U9"/>
    </row>
    <row r="10" spans="1:24" x14ac:dyDescent="0.2">
      <c r="A10" t="s">
        <v>72</v>
      </c>
      <c r="B10"/>
      <c r="C10" s="8"/>
      <c r="D10" s="8"/>
      <c r="E10" s="8"/>
      <c r="F10" s="8"/>
      <c r="G10" s="8"/>
      <c r="H10" s="8"/>
      <c r="I10" s="8">
        <v>30</v>
      </c>
      <c r="J10" s="8"/>
      <c r="K10" s="8"/>
      <c r="L10" s="8">
        <v>30</v>
      </c>
      <c r="M10" s="8"/>
      <c r="N10" s="8"/>
      <c r="O10" s="8"/>
      <c r="P10" s="8">
        <v>30</v>
      </c>
      <c r="Q10" s="8">
        <f t="shared" si="0"/>
        <v>90</v>
      </c>
      <c r="R10" s="8">
        <v>50</v>
      </c>
      <c r="S10" s="8">
        <f t="shared" si="1"/>
        <v>140</v>
      </c>
      <c r="T10"/>
      <c r="U10"/>
      <c r="W10" t="s">
        <v>179</v>
      </c>
      <c r="X10" s="8">
        <v>300</v>
      </c>
    </row>
    <row r="11" spans="1:24" x14ac:dyDescent="0.2">
      <c r="A11" t="s">
        <v>73</v>
      </c>
      <c r="B11"/>
      <c r="C11" s="8"/>
      <c r="D11" s="8"/>
      <c r="E11" s="8"/>
      <c r="F11" s="8"/>
      <c r="G11" s="8"/>
      <c r="H11" s="8"/>
      <c r="I11" s="8"/>
      <c r="J11" s="8"/>
      <c r="K11" s="8"/>
      <c r="L11" s="8"/>
      <c r="M11" s="8">
        <v>30</v>
      </c>
      <c r="N11" s="8"/>
      <c r="O11" s="8"/>
      <c r="P11" s="8"/>
      <c r="Q11" s="8">
        <f t="shared" si="0"/>
        <v>30</v>
      </c>
      <c r="R11" s="8"/>
      <c r="S11" s="8">
        <f t="shared" si="1"/>
        <v>30</v>
      </c>
      <c r="T11"/>
      <c r="U11"/>
      <c r="W11" t="s">
        <v>180</v>
      </c>
      <c r="X11" s="8">
        <v>150</v>
      </c>
    </row>
    <row r="12" spans="1:24" x14ac:dyDescent="0.2">
      <c r="A12" t="s">
        <v>66</v>
      </c>
      <c r="B12"/>
      <c r="C12" s="8"/>
      <c r="D12" s="8"/>
      <c r="E12" s="8">
        <v>30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>
        <f t="shared" si="0"/>
        <v>30</v>
      </c>
      <c r="R12" s="8"/>
      <c r="S12" s="8">
        <f t="shared" si="1"/>
        <v>30</v>
      </c>
      <c r="T12"/>
      <c r="U12"/>
      <c r="W12" t="s">
        <v>181</v>
      </c>
      <c r="X12" s="8">
        <v>100</v>
      </c>
    </row>
    <row r="13" spans="1:24" x14ac:dyDescent="0.2">
      <c r="A13" t="s">
        <v>90</v>
      </c>
      <c r="B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>
        <f t="shared" si="0"/>
        <v>0</v>
      </c>
      <c r="R13" s="8"/>
      <c r="S13" s="8">
        <f t="shared" si="1"/>
        <v>0</v>
      </c>
      <c r="T13"/>
      <c r="U13"/>
      <c r="W13" t="s">
        <v>182</v>
      </c>
      <c r="X13" s="8">
        <v>50</v>
      </c>
    </row>
    <row r="14" spans="1:24" x14ac:dyDescent="0.2">
      <c r="A14" t="s">
        <v>69</v>
      </c>
      <c r="B14"/>
      <c r="C14" s="8">
        <v>30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>
        <f t="shared" si="0"/>
        <v>30</v>
      </c>
      <c r="R14" s="8"/>
      <c r="S14" s="8">
        <f t="shared" si="1"/>
        <v>30</v>
      </c>
      <c r="T14"/>
      <c r="U14"/>
    </row>
    <row r="15" spans="1:24" x14ac:dyDescent="0.2">
      <c r="A15" t="s">
        <v>94</v>
      </c>
      <c r="B15"/>
      <c r="C15" s="8"/>
      <c r="D15" s="8"/>
      <c r="E15" s="8"/>
      <c r="F15" s="8"/>
      <c r="G15" s="8"/>
      <c r="H15" s="8"/>
      <c r="I15" s="8"/>
      <c r="J15" s="8"/>
      <c r="K15" s="8">
        <v>30</v>
      </c>
      <c r="L15" s="8"/>
      <c r="M15" s="8"/>
      <c r="N15" s="8"/>
      <c r="O15" s="8">
        <v>30</v>
      </c>
      <c r="P15" s="8"/>
      <c r="Q15" s="8">
        <f t="shared" si="0"/>
        <v>60</v>
      </c>
      <c r="R15" s="8">
        <v>150</v>
      </c>
      <c r="S15" s="8">
        <f t="shared" si="1"/>
        <v>210</v>
      </c>
      <c r="T15"/>
      <c r="U15"/>
    </row>
    <row r="16" spans="1:24" x14ac:dyDescent="0.2">
      <c r="A16" t="s">
        <v>117</v>
      </c>
      <c r="B1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>
        <f t="shared" si="0"/>
        <v>0</v>
      </c>
      <c r="R16" s="8"/>
      <c r="S16" s="8">
        <f t="shared" si="1"/>
        <v>0</v>
      </c>
      <c r="T16"/>
      <c r="U16"/>
    </row>
    <row r="17" spans="1:21" x14ac:dyDescent="0.2">
      <c r="A17" t="s">
        <v>18</v>
      </c>
      <c r="B1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>
        <f t="shared" si="0"/>
        <v>0</v>
      </c>
      <c r="R17" s="8"/>
      <c r="S17" s="8">
        <f t="shared" si="1"/>
        <v>0</v>
      </c>
      <c r="T17"/>
      <c r="U17"/>
    </row>
    <row r="18" spans="1:21" x14ac:dyDescent="0.2">
      <c r="A18" t="s">
        <v>92</v>
      </c>
      <c r="B18"/>
      <c r="C18" s="8"/>
      <c r="D18" s="8">
        <v>30</v>
      </c>
      <c r="E18" s="8"/>
      <c r="F18" s="8"/>
      <c r="G18" s="8"/>
      <c r="H18" s="8">
        <v>30</v>
      </c>
      <c r="I18" s="8"/>
      <c r="J18" s="8"/>
      <c r="K18" s="8"/>
      <c r="L18" s="8"/>
      <c r="M18" s="8"/>
      <c r="N18" s="8">
        <v>30</v>
      </c>
      <c r="O18" s="8"/>
      <c r="P18" s="8"/>
      <c r="Q18" s="8">
        <f t="shared" si="0"/>
        <v>90</v>
      </c>
      <c r="R18" s="8">
        <v>100</v>
      </c>
      <c r="S18" s="8">
        <f t="shared" si="1"/>
        <v>190</v>
      </c>
      <c r="T18"/>
      <c r="U18"/>
    </row>
    <row r="19" spans="1:21" x14ac:dyDescent="0.2">
      <c r="A19" t="s">
        <v>57</v>
      </c>
      <c r="B19"/>
      <c r="C19" s="8"/>
      <c r="D19" s="8"/>
      <c r="E19" s="8"/>
      <c r="F19" s="8">
        <v>30</v>
      </c>
      <c r="G19" s="8"/>
      <c r="H19" s="8"/>
      <c r="I19" s="8"/>
      <c r="J19" s="8">
        <v>30</v>
      </c>
      <c r="K19" s="8"/>
      <c r="L19" s="8"/>
      <c r="M19" s="8"/>
      <c r="N19" s="8"/>
      <c r="O19" s="8"/>
      <c r="P19" s="8"/>
      <c r="Q19" s="8">
        <f t="shared" si="0"/>
        <v>60</v>
      </c>
      <c r="R19" s="8"/>
      <c r="S19" s="8">
        <f t="shared" si="1"/>
        <v>60</v>
      </c>
      <c r="T19"/>
      <c r="U19"/>
    </row>
    <row r="20" spans="1:21" x14ac:dyDescent="0.2">
      <c r="A20"/>
      <c r="B2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/>
      <c r="T20"/>
      <c r="U20"/>
    </row>
    <row r="21" spans="1:21" x14ac:dyDescent="0.2">
      <c r="A21"/>
      <c r="B2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>
        <f>SUM(S8:S20)</f>
        <v>1020</v>
      </c>
      <c r="T21"/>
      <c r="U21"/>
    </row>
    <row r="22" spans="1:21" x14ac:dyDescent="0.2">
      <c r="A22" t="s">
        <v>118</v>
      </c>
      <c r="B22"/>
      <c r="C22" s="8"/>
      <c r="D22" s="8">
        <v>30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/>
      <c r="T22"/>
      <c r="U22"/>
    </row>
    <row r="23" spans="1:21" x14ac:dyDescent="0.2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21" x14ac:dyDescent="0.2"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21" x14ac:dyDescent="0.2"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21" x14ac:dyDescent="0.2"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21" x14ac:dyDescent="0.2"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21" x14ac:dyDescent="0.2"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21" x14ac:dyDescent="0.2">
      <c r="C29" s="15"/>
    </row>
    <row r="30" spans="1:21" x14ac:dyDescent="0.2">
      <c r="C30" s="15"/>
    </row>
    <row r="31" spans="1:21" x14ac:dyDescent="0.2">
      <c r="C31" s="15"/>
    </row>
    <row r="32" spans="1:21" x14ac:dyDescent="0.2">
      <c r="C32" s="15"/>
    </row>
    <row r="33" spans="3:30" x14ac:dyDescent="0.2">
      <c r="C33" s="15"/>
    </row>
    <row r="34" spans="3:30" x14ac:dyDescent="0.2">
      <c r="C34" s="15"/>
    </row>
    <row r="35" spans="3:30" x14ac:dyDescent="0.2">
      <c r="C35" s="15"/>
    </row>
    <row r="36" spans="3:30" x14ac:dyDescent="0.2">
      <c r="C36" s="15"/>
    </row>
    <row r="37" spans="3:30" x14ac:dyDescent="0.2">
      <c r="C37" s="15"/>
    </row>
    <row r="39" spans="3:30" x14ac:dyDescent="0.2">
      <c r="AD39" s="14">
        <f>+AD37-373</f>
        <v>-373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FB3E-DC23-450D-821D-303BAE3BBD5D}">
  <dimension ref="A4:T41"/>
  <sheetViews>
    <sheetView workbookViewId="0">
      <selection activeCell="G14" sqref="G14"/>
    </sheetView>
  </sheetViews>
  <sheetFormatPr defaultRowHeight="12.75" x14ac:dyDescent="0.2"/>
  <cols>
    <col min="3" max="3" width="10.85546875" customWidth="1"/>
    <col min="9" max="9" width="19.7109375" customWidth="1"/>
    <col min="10" max="10" width="9.28515625" bestFit="1" customWidth="1"/>
    <col min="11" max="11" width="12.28515625" bestFit="1" customWidth="1"/>
    <col min="12" max="12" width="7.42578125" bestFit="1" customWidth="1"/>
    <col min="13" max="13" width="7.42578125" customWidth="1"/>
    <col min="14" max="14" width="10.85546875" bestFit="1" customWidth="1"/>
    <col min="15" max="15" width="10.5703125" bestFit="1" customWidth="1"/>
    <col min="16" max="18" width="10.5703125" customWidth="1"/>
    <col min="19" max="19" width="9.7109375" bestFit="1" customWidth="1"/>
    <col min="20" max="20" width="4.5703125" bestFit="1" customWidth="1"/>
  </cols>
  <sheetData>
    <row r="4" spans="1:6" x14ac:dyDescent="0.2">
      <c r="B4" s="4" t="s">
        <v>138</v>
      </c>
      <c r="C4" s="4" t="s">
        <v>139</v>
      </c>
      <c r="D4" s="4" t="s">
        <v>140</v>
      </c>
      <c r="E4" s="4" t="s">
        <v>141</v>
      </c>
      <c r="F4" s="4" t="s">
        <v>34</v>
      </c>
    </row>
    <row r="5" spans="1:6" x14ac:dyDescent="0.2">
      <c r="A5" t="s">
        <v>93</v>
      </c>
      <c r="B5">
        <v>23</v>
      </c>
      <c r="C5">
        <f>6*T25</f>
        <v>0</v>
      </c>
      <c r="D5">
        <f>(B5+C5)*0.07</f>
        <v>1.61</v>
      </c>
      <c r="F5">
        <f>SUM(B5:E5)</f>
        <v>24.61</v>
      </c>
    </row>
    <row r="6" spans="1:6" x14ac:dyDescent="0.2">
      <c r="A6" t="s">
        <v>19</v>
      </c>
      <c r="B6">
        <v>23</v>
      </c>
      <c r="C6">
        <f>6*T26</f>
        <v>0</v>
      </c>
      <c r="D6">
        <f t="shared" ref="D6:D14" si="0">(B6+C6)*0.07</f>
        <v>1.61</v>
      </c>
      <c r="F6">
        <f t="shared" ref="F6:F14" si="1">SUM(B6:E6)</f>
        <v>24.61</v>
      </c>
    </row>
    <row r="7" spans="1:6" x14ac:dyDescent="0.2">
      <c r="A7" t="s">
        <v>57</v>
      </c>
      <c r="B7">
        <f>23*6+1</f>
        <v>139</v>
      </c>
      <c r="C7">
        <f>6*T28</f>
        <v>0</v>
      </c>
      <c r="D7">
        <f t="shared" si="0"/>
        <v>9.73</v>
      </c>
      <c r="F7">
        <f t="shared" si="1"/>
        <v>148.72999999999999</v>
      </c>
    </row>
    <row r="8" spans="1:6" x14ac:dyDescent="0.2">
      <c r="A8" t="s">
        <v>69</v>
      </c>
      <c r="B8">
        <f>23+17</f>
        <v>40</v>
      </c>
      <c r="C8">
        <f>6*T29</f>
        <v>0</v>
      </c>
      <c r="D8">
        <f t="shared" si="0"/>
        <v>2.8000000000000003</v>
      </c>
      <c r="F8">
        <f t="shared" si="1"/>
        <v>42.8</v>
      </c>
    </row>
    <row r="9" spans="1:6" x14ac:dyDescent="0.2">
      <c r="A9" t="s">
        <v>136</v>
      </c>
      <c r="B9">
        <v>17</v>
      </c>
      <c r="C9">
        <f>6*T30</f>
        <v>0</v>
      </c>
      <c r="D9">
        <f t="shared" si="0"/>
        <v>1.1900000000000002</v>
      </c>
      <c r="F9">
        <f t="shared" si="1"/>
        <v>18.190000000000001</v>
      </c>
    </row>
    <row r="10" spans="1:6" x14ac:dyDescent="0.2">
      <c r="A10" t="s">
        <v>216</v>
      </c>
      <c r="B10">
        <v>17</v>
      </c>
      <c r="C10">
        <f>6*T31</f>
        <v>0</v>
      </c>
      <c r="D10">
        <f t="shared" si="0"/>
        <v>1.1900000000000002</v>
      </c>
      <c r="F10">
        <f t="shared" si="1"/>
        <v>18.190000000000001</v>
      </c>
    </row>
    <row r="11" spans="1:6" x14ac:dyDescent="0.2">
      <c r="A11" t="s">
        <v>72</v>
      </c>
      <c r="B11">
        <f>23+23</f>
        <v>46</v>
      </c>
      <c r="C11">
        <f>6*T32</f>
        <v>0</v>
      </c>
      <c r="D11">
        <f>(B11+C11)*0.07</f>
        <v>3.22</v>
      </c>
      <c r="F11">
        <f>SUM(B11:E11)</f>
        <v>49.22</v>
      </c>
    </row>
    <row r="12" spans="1:6" x14ac:dyDescent="0.2">
      <c r="A12" t="s">
        <v>135</v>
      </c>
      <c r="B12">
        <v>34</v>
      </c>
      <c r="C12">
        <f>6*T32</f>
        <v>0</v>
      </c>
      <c r="D12">
        <f t="shared" si="0"/>
        <v>2.3800000000000003</v>
      </c>
      <c r="F12">
        <f t="shared" si="1"/>
        <v>36.380000000000003</v>
      </c>
    </row>
    <row r="13" spans="1:6" x14ac:dyDescent="0.2">
      <c r="A13" t="s">
        <v>71</v>
      </c>
      <c r="B13">
        <v>69</v>
      </c>
      <c r="D13">
        <f>(B13+C13)*0.07</f>
        <v>4.83</v>
      </c>
      <c r="F13">
        <f>SUM(B13:E13)</f>
        <v>73.83</v>
      </c>
    </row>
    <row r="14" spans="1:6" x14ac:dyDescent="0.2">
      <c r="A14" t="s">
        <v>117</v>
      </c>
      <c r="B14">
        <v>23</v>
      </c>
      <c r="C14">
        <f>6*T36</f>
        <v>0</v>
      </c>
      <c r="D14">
        <f t="shared" si="0"/>
        <v>1.61</v>
      </c>
      <c r="F14">
        <f t="shared" si="1"/>
        <v>24.61</v>
      </c>
    </row>
    <row r="15" spans="1:6" x14ac:dyDescent="0.2">
      <c r="B15">
        <f>SUM(B5:B14)</f>
        <v>431</v>
      </c>
      <c r="C15">
        <f>SUM(C5:C14)</f>
        <v>0</v>
      </c>
      <c r="D15">
        <f>SUM(D5:D14)</f>
        <v>30.17</v>
      </c>
      <c r="E15">
        <f>SUM(E5:E14)</f>
        <v>0</v>
      </c>
      <c r="F15">
        <f>SUM(F5:F14)</f>
        <v>461.17</v>
      </c>
    </row>
    <row r="17" spans="1:20" x14ac:dyDescent="0.2">
      <c r="H17" t="s">
        <v>160</v>
      </c>
    </row>
    <row r="19" spans="1:20" x14ac:dyDescent="0.2">
      <c r="F19">
        <f>F17+F15</f>
        <v>461.17</v>
      </c>
    </row>
    <row r="23" spans="1:20" x14ac:dyDescent="0.2">
      <c r="A23" t="s">
        <v>154</v>
      </c>
      <c r="B23">
        <v>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">
      <c r="A24" t="s">
        <v>158</v>
      </c>
      <c r="B24">
        <v>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2">
      <c r="A25" t="s">
        <v>235</v>
      </c>
      <c r="B25">
        <v>7</v>
      </c>
      <c r="H25" t="s">
        <v>93</v>
      </c>
    </row>
    <row r="26" spans="1:20" x14ac:dyDescent="0.2">
      <c r="A26" t="s">
        <v>236</v>
      </c>
      <c r="B26">
        <v>2</v>
      </c>
      <c r="H26" t="s">
        <v>19</v>
      </c>
    </row>
    <row r="27" spans="1:20" x14ac:dyDescent="0.2">
      <c r="A27" t="s">
        <v>237</v>
      </c>
      <c r="B27">
        <v>1</v>
      </c>
      <c r="H27" t="s">
        <v>157</v>
      </c>
    </row>
    <row r="28" spans="1:20" x14ac:dyDescent="0.2">
      <c r="H28" t="s">
        <v>57</v>
      </c>
    </row>
    <row r="29" spans="1:20" x14ac:dyDescent="0.2">
      <c r="H29" t="s">
        <v>17</v>
      </c>
    </row>
    <row r="30" spans="1:20" x14ac:dyDescent="0.2">
      <c r="H30" t="s">
        <v>111</v>
      </c>
    </row>
    <row r="31" spans="1:20" x14ac:dyDescent="0.2">
      <c r="H31" t="s">
        <v>42</v>
      </c>
    </row>
    <row r="32" spans="1:20" x14ac:dyDescent="0.2">
      <c r="H32" t="s">
        <v>90</v>
      </c>
    </row>
    <row r="33" spans="8:20" x14ac:dyDescent="0.2">
      <c r="H33" t="s">
        <v>72</v>
      </c>
    </row>
    <row r="34" spans="8:20" x14ac:dyDescent="0.2">
      <c r="H34" t="s">
        <v>159</v>
      </c>
    </row>
    <row r="35" spans="8:20" x14ac:dyDescent="0.2">
      <c r="H35" t="s">
        <v>156</v>
      </c>
    </row>
    <row r="36" spans="8:20" x14ac:dyDescent="0.2">
      <c r="H36" t="s">
        <v>117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8:20" x14ac:dyDescent="0.2">
      <c r="H37" t="s">
        <v>34</v>
      </c>
    </row>
    <row r="40" spans="8:20" x14ac:dyDescent="0.2">
      <c r="H40" t="s">
        <v>136</v>
      </c>
      <c r="I40" t="s">
        <v>137</v>
      </c>
    </row>
    <row r="41" spans="8:20" x14ac:dyDescent="0.2">
      <c r="H41" t="s">
        <v>136</v>
      </c>
      <c r="I41" t="s">
        <v>155</v>
      </c>
    </row>
  </sheetData>
  <sortState xmlns:xlrd2="http://schemas.microsoft.com/office/spreadsheetml/2017/richdata2" ref="H25:T36">
    <sortCondition ref="H25:H3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B24D-10BB-4D6B-A577-6933A3F88804}">
  <dimension ref="A1:AF76"/>
  <sheetViews>
    <sheetView tabSelected="1" zoomScaleNormal="100" workbookViewId="0">
      <selection activeCell="R44" sqref="R44"/>
    </sheetView>
  </sheetViews>
  <sheetFormatPr defaultRowHeight="15.75" x14ac:dyDescent="0.25"/>
  <cols>
    <col min="1" max="1" width="24.85546875" style="16" bestFit="1" customWidth="1"/>
    <col min="2" max="3" width="9.140625" style="16"/>
    <col min="4" max="4" width="12.7109375" style="16" customWidth="1"/>
    <col min="5" max="7" width="12.5703125" style="16" bestFit="1" customWidth="1"/>
    <col min="8" max="8" width="11.28515625" style="16" bestFit="1" customWidth="1"/>
    <col min="9" max="10" width="12.42578125" style="16" bestFit="1" customWidth="1"/>
    <col min="11" max="11" width="11.85546875" style="16" bestFit="1" customWidth="1"/>
    <col min="12" max="12" width="12.7109375" style="16" bestFit="1" customWidth="1"/>
    <col min="13" max="13" width="13.5703125" style="16" bestFit="1" customWidth="1"/>
    <col min="14" max="15" width="12.7109375" style="16" customWidth="1"/>
    <col min="16" max="16" width="13.5703125" style="16" bestFit="1" customWidth="1"/>
    <col min="17" max="18" width="9.140625" style="16"/>
    <col min="19" max="19" width="0" style="16" hidden="1" customWidth="1"/>
    <col min="20" max="20" width="10.5703125" style="16" hidden="1" customWidth="1"/>
    <col min="21" max="21" width="11.28515625" style="16" bestFit="1" customWidth="1"/>
    <col min="22" max="28" width="9.140625" style="16"/>
    <col min="29" max="31" width="12.5703125" style="16" bestFit="1" customWidth="1"/>
    <col min="32" max="32" width="12.7109375" style="16" customWidth="1"/>
    <col min="33" max="16384" width="9.140625" style="16"/>
  </cols>
  <sheetData>
    <row r="1" spans="1:32" x14ac:dyDescent="0.25">
      <c r="B1" s="22"/>
      <c r="C1" s="22"/>
      <c r="D1" s="22" t="s">
        <v>135</v>
      </c>
      <c r="E1" s="22" t="s">
        <v>183</v>
      </c>
      <c r="F1" s="22" t="s">
        <v>183</v>
      </c>
      <c r="G1" s="22" t="s">
        <v>183</v>
      </c>
      <c r="H1" s="22" t="s">
        <v>183</v>
      </c>
      <c r="I1" s="22" t="s">
        <v>69</v>
      </c>
      <c r="J1" s="22" t="s">
        <v>69</v>
      </c>
      <c r="K1" s="22" t="s">
        <v>184</v>
      </c>
      <c r="L1" s="22"/>
      <c r="M1" s="22" t="s">
        <v>185</v>
      </c>
      <c r="N1" s="22" t="s">
        <v>135</v>
      </c>
      <c r="O1" s="22" t="s">
        <v>93</v>
      </c>
      <c r="P1" s="22" t="s">
        <v>186</v>
      </c>
      <c r="Q1" s="22"/>
      <c r="S1" s="22" t="s">
        <v>187</v>
      </c>
      <c r="AC1" s="22" t="s">
        <v>183</v>
      </c>
      <c r="AD1" s="22" t="s">
        <v>183</v>
      </c>
      <c r="AE1" s="22" t="s">
        <v>183</v>
      </c>
      <c r="AF1" s="22" t="s">
        <v>135</v>
      </c>
    </row>
    <row r="2" spans="1:32" x14ac:dyDescent="0.25">
      <c r="B2" s="17" t="s">
        <v>188</v>
      </c>
      <c r="C2" s="17" t="s">
        <v>189</v>
      </c>
      <c r="D2" s="17" t="s">
        <v>190</v>
      </c>
      <c r="E2" s="17" t="s">
        <v>191</v>
      </c>
      <c r="F2" s="17" t="s">
        <v>192</v>
      </c>
      <c r="G2" s="17" t="s">
        <v>193</v>
      </c>
      <c r="H2" s="17" t="s">
        <v>194</v>
      </c>
      <c r="I2" s="17" t="s">
        <v>195</v>
      </c>
      <c r="J2" s="17" t="s">
        <v>196</v>
      </c>
      <c r="K2" s="17" t="s">
        <v>197</v>
      </c>
      <c r="L2" s="17" t="s">
        <v>198</v>
      </c>
      <c r="M2" s="17" t="s">
        <v>197</v>
      </c>
      <c r="N2" s="17" t="s">
        <v>199</v>
      </c>
      <c r="O2" s="17" t="s">
        <v>200</v>
      </c>
      <c r="P2" s="17" t="s">
        <v>159</v>
      </c>
      <c r="Q2" s="17" t="s">
        <v>161</v>
      </c>
      <c r="R2" s="17" t="s">
        <v>34</v>
      </c>
      <c r="S2" s="17" t="s">
        <v>201</v>
      </c>
      <c r="T2" s="17" t="s">
        <v>202</v>
      </c>
      <c r="U2" s="22"/>
      <c r="AC2" s="17" t="s">
        <v>191</v>
      </c>
      <c r="AD2" s="17" t="s">
        <v>192</v>
      </c>
      <c r="AE2" s="17" t="s">
        <v>193</v>
      </c>
      <c r="AF2" s="17" t="s">
        <v>190</v>
      </c>
    </row>
    <row r="3" spans="1:32" x14ac:dyDescent="0.25">
      <c r="A3" s="16" t="s">
        <v>135</v>
      </c>
      <c r="B3" s="18">
        <f>10-30-20</f>
        <v>-40</v>
      </c>
      <c r="C3" s="18"/>
      <c r="D3" s="18">
        <v>10</v>
      </c>
      <c r="E3" s="19"/>
      <c r="F3" s="19">
        <v>50</v>
      </c>
      <c r="G3" s="18"/>
      <c r="H3" s="18"/>
      <c r="I3" s="18"/>
      <c r="J3" s="18"/>
      <c r="K3" s="18"/>
      <c r="L3" s="18"/>
      <c r="M3" s="18"/>
      <c r="N3" s="18"/>
      <c r="O3" s="18">
        <v>20</v>
      </c>
      <c r="P3" s="18"/>
      <c r="Q3" s="18"/>
      <c r="R3" s="18">
        <f t="shared" ref="R3:R35" si="0">SUM(B3:Q3)</f>
        <v>40</v>
      </c>
      <c r="AC3" s="19">
        <v>50</v>
      </c>
      <c r="AD3" s="19">
        <v>50</v>
      </c>
      <c r="AE3" s="18"/>
      <c r="AF3" s="23">
        <v>90</v>
      </c>
    </row>
    <row r="4" spans="1:32" x14ac:dyDescent="0.25">
      <c r="A4" s="16" t="s">
        <v>168</v>
      </c>
      <c r="B4" s="18">
        <v>-20</v>
      </c>
      <c r="C4" s="18"/>
      <c r="D4" s="18"/>
      <c r="E4" s="19">
        <v>400</v>
      </c>
      <c r="F4" s="18"/>
      <c r="G4" s="18"/>
      <c r="H4" s="18"/>
      <c r="I4" s="18"/>
      <c r="J4" s="18"/>
      <c r="K4" s="18"/>
      <c r="L4" s="18"/>
      <c r="M4" s="18"/>
      <c r="N4" s="18"/>
      <c r="O4" s="18">
        <v>20</v>
      </c>
      <c r="P4" s="18"/>
      <c r="Q4" s="18"/>
      <c r="R4" s="18">
        <f t="shared" si="0"/>
        <v>400</v>
      </c>
      <c r="AC4" s="18"/>
      <c r="AD4" s="19">
        <v>50</v>
      </c>
      <c r="AE4" s="18"/>
      <c r="AF4" s="23">
        <v>20</v>
      </c>
    </row>
    <row r="5" spans="1:32" x14ac:dyDescent="0.25">
      <c r="A5" s="16" t="s">
        <v>203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>
        <f t="shared" si="0"/>
        <v>0</v>
      </c>
      <c r="AC5" s="18"/>
      <c r="AD5" s="19"/>
      <c r="AE5" s="18"/>
      <c r="AF5" s="23"/>
    </row>
    <row r="6" spans="1:32" x14ac:dyDescent="0.25">
      <c r="A6" s="16" t="s">
        <v>93</v>
      </c>
      <c r="B6" s="18">
        <f>20+200-100-30-20-20-20+300-85-60+300</f>
        <v>485</v>
      </c>
      <c r="C6" s="18">
        <f>300-300+85</f>
        <v>85</v>
      </c>
      <c r="D6" s="18">
        <v>60</v>
      </c>
      <c r="E6" s="19"/>
      <c r="F6" s="18"/>
      <c r="G6" s="19"/>
      <c r="H6" s="18"/>
      <c r="I6" s="18"/>
      <c r="J6" s="18"/>
      <c r="K6" s="26">
        <v>20</v>
      </c>
      <c r="L6" s="18"/>
      <c r="M6" s="18"/>
      <c r="N6" s="18"/>
      <c r="O6" s="18">
        <v>60</v>
      </c>
      <c r="P6" s="18"/>
      <c r="Q6" s="18"/>
      <c r="R6" s="18">
        <f t="shared" si="0"/>
        <v>710</v>
      </c>
      <c r="T6" s="18">
        <f>+R6+S6</f>
        <v>710</v>
      </c>
      <c r="U6" s="18"/>
      <c r="AC6" s="18"/>
      <c r="AD6" s="19">
        <v>50</v>
      </c>
      <c r="AE6" s="19">
        <v>50</v>
      </c>
      <c r="AF6" s="23">
        <v>170</v>
      </c>
    </row>
    <row r="7" spans="1:32" x14ac:dyDescent="0.25">
      <c r="A7" s="16" t="s">
        <v>71</v>
      </c>
      <c r="B7" s="18">
        <f>5+10-65-15-30-20-40-20-20</f>
        <v>-195</v>
      </c>
      <c r="C7" s="18"/>
      <c r="D7" s="18">
        <f>20-20</f>
        <v>0</v>
      </c>
      <c r="E7" s="19"/>
      <c r="F7" s="19">
        <v>50</v>
      </c>
      <c r="G7" s="18"/>
      <c r="H7" s="18"/>
      <c r="I7" s="18"/>
      <c r="J7" s="18"/>
      <c r="K7" s="26">
        <v>20</v>
      </c>
      <c r="L7" s="18"/>
      <c r="M7" s="18"/>
      <c r="N7" s="18"/>
      <c r="O7" s="18">
        <v>20</v>
      </c>
      <c r="P7" s="18">
        <f>65+40+385-74</f>
        <v>416</v>
      </c>
      <c r="Q7" s="18">
        <v>490</v>
      </c>
      <c r="R7" s="18">
        <f t="shared" si="0"/>
        <v>801</v>
      </c>
      <c r="T7" s="18">
        <f t="shared" ref="T7:T55" si="1">+R7+S7</f>
        <v>801</v>
      </c>
      <c r="U7" s="18"/>
      <c r="V7" s="18"/>
      <c r="AC7" s="19">
        <v>50</v>
      </c>
      <c r="AD7" s="19">
        <v>50</v>
      </c>
      <c r="AE7" s="18"/>
      <c r="AF7" s="23">
        <v>90</v>
      </c>
    </row>
    <row r="8" spans="1:32" x14ac:dyDescent="0.25">
      <c r="A8" s="16" t="s">
        <v>204</v>
      </c>
      <c r="B8" s="18">
        <v>10</v>
      </c>
      <c r="C8" s="18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>
        <f t="shared" si="0"/>
        <v>10</v>
      </c>
      <c r="T8" s="18"/>
      <c r="U8" s="18"/>
      <c r="V8" s="18"/>
      <c r="AC8" s="18"/>
      <c r="AD8" s="18"/>
      <c r="AE8" s="18"/>
      <c r="AF8" s="23">
        <v>20</v>
      </c>
    </row>
    <row r="9" spans="1:32" x14ac:dyDescent="0.25">
      <c r="A9" s="16" t="s">
        <v>19</v>
      </c>
      <c r="B9" s="18">
        <f>45+10-30-20</f>
        <v>5</v>
      </c>
      <c r="C9" s="18"/>
      <c r="D9" s="18"/>
      <c r="E9" s="18"/>
      <c r="F9" s="18"/>
      <c r="G9" s="18"/>
      <c r="H9" s="18"/>
      <c r="I9" s="18"/>
      <c r="J9" s="18"/>
      <c r="K9" s="26">
        <v>20</v>
      </c>
      <c r="L9" s="18"/>
      <c r="M9" s="18"/>
      <c r="N9" s="18"/>
      <c r="O9" s="18"/>
      <c r="P9" s="18"/>
      <c r="Q9" s="18"/>
      <c r="R9" s="18">
        <f t="shared" si="0"/>
        <v>25</v>
      </c>
      <c r="T9" s="18">
        <f t="shared" si="1"/>
        <v>25</v>
      </c>
      <c r="U9" s="18"/>
      <c r="AC9" s="18"/>
      <c r="AD9" s="18"/>
      <c r="AE9" s="18"/>
      <c r="AF9" s="23">
        <v>10</v>
      </c>
    </row>
    <row r="10" spans="1:32" x14ac:dyDescent="0.25">
      <c r="A10" s="16" t="s">
        <v>124</v>
      </c>
      <c r="B10" s="18"/>
      <c r="C10" s="18"/>
      <c r="D10" s="18"/>
      <c r="E10" s="18"/>
      <c r="F10" s="19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>
        <f t="shared" si="0"/>
        <v>0</v>
      </c>
      <c r="T10" s="18">
        <f t="shared" si="1"/>
        <v>0</v>
      </c>
      <c r="U10" s="18"/>
      <c r="AC10" s="19">
        <v>50</v>
      </c>
      <c r="AD10" s="18"/>
      <c r="AE10" s="19">
        <v>50</v>
      </c>
      <c r="AF10" s="18">
        <v>100</v>
      </c>
    </row>
    <row r="11" spans="1:32" x14ac:dyDescent="0.25">
      <c r="A11" s="16" t="s">
        <v>205</v>
      </c>
      <c r="B11" s="18">
        <f>40-40</f>
        <v>0</v>
      </c>
      <c r="C11" s="18"/>
      <c r="D11" s="18">
        <f>30-30</f>
        <v>0</v>
      </c>
      <c r="E11" s="18"/>
      <c r="F11" s="19"/>
      <c r="G11" s="19"/>
      <c r="H11" s="18">
        <v>250</v>
      </c>
      <c r="I11" s="18"/>
      <c r="J11" s="18"/>
      <c r="K11" s="18"/>
      <c r="L11" s="18"/>
      <c r="M11" s="18"/>
      <c r="N11" s="18"/>
      <c r="O11" s="18"/>
      <c r="P11" s="18"/>
      <c r="Q11" s="18"/>
      <c r="R11" s="18">
        <f t="shared" si="0"/>
        <v>250</v>
      </c>
      <c r="T11" s="18"/>
      <c r="U11" s="18"/>
      <c r="AC11" s="18"/>
      <c r="AD11" s="19">
        <v>50</v>
      </c>
      <c r="AE11" s="19">
        <v>50</v>
      </c>
      <c r="AF11" s="23">
        <v>20</v>
      </c>
    </row>
    <row r="12" spans="1:32" x14ac:dyDescent="0.25">
      <c r="A12" s="16" t="s">
        <v>233</v>
      </c>
      <c r="B12" s="18">
        <v>20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>
        <f t="shared" si="0"/>
        <v>20</v>
      </c>
      <c r="T12" s="18"/>
      <c r="U12" s="18"/>
      <c r="AC12" s="18"/>
      <c r="AD12" s="18"/>
      <c r="AE12" s="18"/>
      <c r="AF12" s="18"/>
    </row>
    <row r="13" spans="1:32" x14ac:dyDescent="0.25">
      <c r="A13" s="16" t="s">
        <v>57</v>
      </c>
      <c r="B13" s="18">
        <f>10-10-30-20-20-85</f>
        <v>-155</v>
      </c>
      <c r="C13" s="18">
        <f>60-60+85</f>
        <v>85</v>
      </c>
      <c r="D13" s="18"/>
      <c r="E13" s="19"/>
      <c r="F13" s="18"/>
      <c r="G13" s="19">
        <v>50</v>
      </c>
      <c r="H13" s="18">
        <v>125</v>
      </c>
      <c r="I13" s="18"/>
      <c r="J13" s="18"/>
      <c r="K13" s="26">
        <v>20</v>
      </c>
      <c r="L13" s="18"/>
      <c r="M13" s="18"/>
      <c r="N13" s="18"/>
      <c r="O13" s="18">
        <v>20</v>
      </c>
      <c r="P13" s="18">
        <v>-5</v>
      </c>
      <c r="Q13" s="18"/>
      <c r="R13" s="18">
        <f t="shared" si="0"/>
        <v>140</v>
      </c>
      <c r="T13" s="18">
        <f t="shared" si="1"/>
        <v>140</v>
      </c>
      <c r="U13" s="18"/>
      <c r="AC13" s="18"/>
      <c r="AE13" s="19">
        <v>50</v>
      </c>
      <c r="AF13" s="23">
        <v>50</v>
      </c>
    </row>
    <row r="14" spans="1:32" x14ac:dyDescent="0.25">
      <c r="A14" s="16" t="s">
        <v>206</v>
      </c>
      <c r="B14" s="18">
        <f>10-10-50-30-20</f>
        <v>-100</v>
      </c>
      <c r="C14" s="18"/>
      <c r="D14" s="18">
        <f>40-40</f>
        <v>0</v>
      </c>
      <c r="E14" s="19"/>
      <c r="G14" s="19"/>
      <c r="H14" s="18"/>
      <c r="I14" s="18"/>
      <c r="J14" s="18"/>
      <c r="K14" s="18"/>
      <c r="L14" s="18"/>
      <c r="M14" s="18"/>
      <c r="N14" s="18"/>
      <c r="O14" s="18"/>
      <c r="P14" s="18"/>
      <c r="Q14" s="18">
        <f>50+30+20</f>
        <v>100</v>
      </c>
      <c r="R14" s="18">
        <f t="shared" si="0"/>
        <v>0</v>
      </c>
      <c r="T14" s="18">
        <f t="shared" si="1"/>
        <v>0</v>
      </c>
      <c r="U14" s="18"/>
      <c r="AC14" s="18"/>
      <c r="AD14" s="18"/>
      <c r="AE14" s="18"/>
      <c r="AF14" s="18"/>
    </row>
    <row r="15" spans="1:32" x14ac:dyDescent="0.25">
      <c r="A15" s="16" t="s">
        <v>207</v>
      </c>
      <c r="B15" s="18">
        <v>10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>
        <f t="shared" si="0"/>
        <v>10</v>
      </c>
      <c r="T15" s="18"/>
      <c r="U15" s="18"/>
      <c r="AC15" s="18"/>
      <c r="AD15" s="18"/>
      <c r="AE15" s="18"/>
      <c r="AF15" s="18"/>
    </row>
    <row r="16" spans="1:32" x14ac:dyDescent="0.25">
      <c r="A16" s="16" t="s">
        <v>58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>
        <f t="shared" si="0"/>
        <v>0</v>
      </c>
      <c r="T16" s="18"/>
      <c r="U16" s="18"/>
      <c r="AC16" s="19">
        <v>50</v>
      </c>
      <c r="AD16" s="18"/>
      <c r="AE16" s="18"/>
      <c r="AF16" s="23">
        <v>30</v>
      </c>
    </row>
    <row r="17" spans="1:32" x14ac:dyDescent="0.25">
      <c r="A17" s="16" t="s">
        <v>208</v>
      </c>
      <c r="B17" s="18">
        <f>10-10</f>
        <v>0</v>
      </c>
      <c r="C17" s="18"/>
      <c r="D17" s="18">
        <f>70-50-20</f>
        <v>0</v>
      </c>
      <c r="E17" s="18"/>
      <c r="F17" s="19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>
        <f t="shared" si="0"/>
        <v>0</v>
      </c>
      <c r="T17" s="18">
        <f>+R17+S17</f>
        <v>0</v>
      </c>
      <c r="U17" s="18"/>
      <c r="AC17" s="18"/>
      <c r="AD17" s="18"/>
      <c r="AE17" s="18"/>
      <c r="AF17" s="23">
        <v>20</v>
      </c>
    </row>
    <row r="18" spans="1:32" x14ac:dyDescent="0.25">
      <c r="A18" s="16" t="s">
        <v>136</v>
      </c>
      <c r="B18" s="18">
        <f>5+10</f>
        <v>15</v>
      </c>
      <c r="C18" s="18"/>
      <c r="D18" s="18">
        <v>40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>
        <v>20</v>
      </c>
      <c r="P18" s="18"/>
      <c r="Q18" s="18"/>
      <c r="R18" s="18">
        <f t="shared" si="0"/>
        <v>75</v>
      </c>
      <c r="T18" s="18"/>
      <c r="U18" s="18"/>
      <c r="AC18" s="18"/>
      <c r="AD18" s="18"/>
      <c r="AE18" s="18"/>
      <c r="AF18" s="18"/>
    </row>
    <row r="19" spans="1:32" x14ac:dyDescent="0.25">
      <c r="A19" s="16" t="s">
        <v>209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>
        <f t="shared" si="0"/>
        <v>0</v>
      </c>
      <c r="T19" s="18"/>
      <c r="U19" s="18"/>
      <c r="AC19" s="18"/>
      <c r="AD19" s="18"/>
      <c r="AE19" s="19">
        <v>50</v>
      </c>
      <c r="AF19" s="23">
        <v>10</v>
      </c>
    </row>
    <row r="20" spans="1:32" x14ac:dyDescent="0.25">
      <c r="A20" s="16" t="s">
        <v>210</v>
      </c>
      <c r="B20" s="18">
        <f>10-10-30-20-20</f>
        <v>-70</v>
      </c>
      <c r="C20" s="18"/>
      <c r="D20" s="18"/>
      <c r="E20" s="18"/>
      <c r="F20" s="19">
        <v>200</v>
      </c>
      <c r="G20" s="19">
        <v>400</v>
      </c>
      <c r="H20" s="18"/>
      <c r="I20" s="18">
        <v>750</v>
      </c>
      <c r="J20" s="18"/>
      <c r="K20" s="18"/>
      <c r="L20" s="18"/>
      <c r="M20" s="18"/>
      <c r="N20" s="18"/>
      <c r="O20" s="18"/>
      <c r="P20" s="18"/>
      <c r="Q20" s="18">
        <v>-490</v>
      </c>
      <c r="R20" s="18">
        <f t="shared" si="0"/>
        <v>790</v>
      </c>
      <c r="T20" s="18">
        <f t="shared" si="1"/>
        <v>790</v>
      </c>
      <c r="U20" s="18"/>
      <c r="AC20" s="19">
        <v>50</v>
      </c>
      <c r="AD20" s="18"/>
      <c r="AE20" s="18"/>
      <c r="AF20" s="23">
        <v>80</v>
      </c>
    </row>
    <row r="21" spans="1:32" x14ac:dyDescent="0.25">
      <c r="A21" s="16" t="s">
        <v>49</v>
      </c>
      <c r="B21" s="18">
        <v>-20</v>
      </c>
      <c r="C21" s="18"/>
      <c r="D21" s="18">
        <f>150-100-40</f>
        <v>10</v>
      </c>
      <c r="E21" s="18"/>
      <c r="F21" s="19"/>
      <c r="G21" s="19">
        <v>50</v>
      </c>
      <c r="H21" s="18"/>
      <c r="I21" s="18"/>
      <c r="J21" s="18"/>
      <c r="K21" s="26">
        <v>20</v>
      </c>
      <c r="L21" s="18"/>
      <c r="M21" s="18"/>
      <c r="N21" s="18"/>
      <c r="O21" s="18"/>
      <c r="P21" s="18">
        <f>47+10</f>
        <v>57</v>
      </c>
      <c r="Q21" s="18">
        <v>-97</v>
      </c>
      <c r="R21" s="18">
        <f t="shared" si="0"/>
        <v>20</v>
      </c>
      <c r="T21" s="18">
        <f t="shared" si="1"/>
        <v>20</v>
      </c>
      <c r="U21" s="18"/>
      <c r="AC21" s="18"/>
      <c r="AE21" s="18"/>
      <c r="AF21" s="18"/>
    </row>
    <row r="22" spans="1:32" x14ac:dyDescent="0.25">
      <c r="A22" s="16" t="s">
        <v>211</v>
      </c>
      <c r="B22" s="18"/>
      <c r="C22" s="18"/>
      <c r="D22" s="18"/>
      <c r="E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>
        <f t="shared" si="0"/>
        <v>0</v>
      </c>
      <c r="T22" s="18"/>
      <c r="U22" s="18"/>
      <c r="AC22" s="19">
        <v>50</v>
      </c>
      <c r="AD22" s="19">
        <v>50</v>
      </c>
      <c r="AE22" s="18"/>
      <c r="AF22" s="23">
        <v>140</v>
      </c>
    </row>
    <row r="23" spans="1:32" x14ac:dyDescent="0.25">
      <c r="A23" s="16" t="s">
        <v>111</v>
      </c>
      <c r="B23" s="18">
        <f>600+20-30-40</f>
        <v>550</v>
      </c>
      <c r="C23" s="18"/>
      <c r="D23" s="18">
        <v>60</v>
      </c>
      <c r="E23" s="18"/>
      <c r="F23" s="18"/>
      <c r="G23" s="18"/>
      <c r="H23" s="18">
        <v>250</v>
      </c>
      <c r="I23" s="18"/>
      <c r="J23" s="18"/>
      <c r="K23" s="18"/>
      <c r="L23" s="18"/>
      <c r="M23" s="18"/>
      <c r="N23" s="18"/>
      <c r="O23" s="18"/>
      <c r="P23" s="18"/>
      <c r="Q23" s="18"/>
      <c r="R23" s="18">
        <f t="shared" si="0"/>
        <v>860</v>
      </c>
      <c r="T23" s="18">
        <f t="shared" si="1"/>
        <v>860</v>
      </c>
      <c r="U23" s="18"/>
      <c r="V23" s="18"/>
      <c r="AC23" s="19">
        <v>50</v>
      </c>
      <c r="AD23" s="19"/>
      <c r="AE23" s="19">
        <v>50</v>
      </c>
      <c r="AF23" s="23">
        <v>70</v>
      </c>
    </row>
    <row r="24" spans="1:32" x14ac:dyDescent="0.25">
      <c r="A24" s="16" t="s">
        <v>42</v>
      </c>
      <c r="B24" s="18">
        <f>120-100+300-30-20-40-20+30-85-20</f>
        <v>135</v>
      </c>
      <c r="C24" s="18">
        <f>30-30+85</f>
        <v>85</v>
      </c>
      <c r="D24" s="18">
        <v>90</v>
      </c>
      <c r="E24" s="18"/>
      <c r="F24" s="19"/>
      <c r="G24" s="19"/>
      <c r="H24" s="18"/>
      <c r="I24" s="18"/>
      <c r="J24" s="18"/>
      <c r="K24" s="26">
        <v>20</v>
      </c>
      <c r="L24" s="18"/>
      <c r="M24" s="18"/>
      <c r="N24" s="18"/>
      <c r="O24" s="18">
        <v>20</v>
      </c>
      <c r="P24" s="18"/>
      <c r="Q24" s="18">
        <f>-50-30-20</f>
        <v>-100</v>
      </c>
      <c r="R24" s="18">
        <f t="shared" si="0"/>
        <v>250</v>
      </c>
      <c r="T24" s="18">
        <f t="shared" si="1"/>
        <v>250</v>
      </c>
      <c r="U24" s="18"/>
      <c r="AC24" s="18"/>
      <c r="AD24" s="18"/>
      <c r="AE24" s="18"/>
      <c r="AF24" s="18"/>
    </row>
    <row r="25" spans="1:32" x14ac:dyDescent="0.25">
      <c r="A25" s="16" t="s">
        <v>212</v>
      </c>
      <c r="B25" s="18"/>
      <c r="C25" s="18"/>
      <c r="D25" s="18"/>
      <c r="E25" s="18"/>
      <c r="F25" s="18"/>
      <c r="G25" s="18"/>
      <c r="H25" s="18"/>
      <c r="I25" s="18"/>
      <c r="J25" s="18"/>
      <c r="L25" s="18"/>
      <c r="M25" s="18"/>
      <c r="N25" s="18"/>
      <c r="O25" s="18"/>
      <c r="P25" s="18"/>
      <c r="Q25" s="18"/>
      <c r="R25" s="18">
        <f t="shared" si="0"/>
        <v>0</v>
      </c>
      <c r="T25" s="18"/>
      <c r="U25" s="18"/>
      <c r="AC25" s="18"/>
      <c r="AD25" s="19">
        <v>50</v>
      </c>
      <c r="AE25" s="19">
        <v>50</v>
      </c>
      <c r="AF25" s="23">
        <v>40</v>
      </c>
    </row>
    <row r="26" spans="1:32" x14ac:dyDescent="0.25">
      <c r="A26" s="16" t="s">
        <v>90</v>
      </c>
      <c r="B26" s="18">
        <f>10-10-30</f>
        <v>-30</v>
      </c>
      <c r="C26" s="18"/>
      <c r="D26" s="18">
        <f>20-20</f>
        <v>0</v>
      </c>
      <c r="E26" s="19">
        <v>50</v>
      </c>
      <c r="F26" s="18"/>
      <c r="G26" s="19"/>
      <c r="H26" s="18"/>
      <c r="I26" s="18"/>
      <c r="J26" s="18"/>
      <c r="K26" s="26">
        <v>20</v>
      </c>
      <c r="L26" s="18"/>
      <c r="M26" s="18"/>
      <c r="N26" s="18"/>
      <c r="O26" s="18"/>
      <c r="P26" s="18"/>
      <c r="Q26" s="18"/>
      <c r="R26" s="18">
        <f t="shared" si="0"/>
        <v>40</v>
      </c>
      <c r="T26" s="18">
        <f t="shared" si="1"/>
        <v>40</v>
      </c>
      <c r="U26" s="18"/>
      <c r="AC26" s="18"/>
      <c r="AD26" s="18"/>
      <c r="AE26" s="18"/>
      <c r="AF26" s="18"/>
    </row>
    <row r="27" spans="1:32" x14ac:dyDescent="0.25">
      <c r="A27" s="16" t="s">
        <v>213</v>
      </c>
      <c r="B27" s="18">
        <v>105</v>
      </c>
      <c r="C27" s="18">
        <f>105-105</f>
        <v>0</v>
      </c>
      <c r="D27" s="18"/>
      <c r="E27" s="18"/>
      <c r="F27" s="18"/>
      <c r="G27" s="18"/>
      <c r="H27" s="18"/>
      <c r="I27" s="18"/>
      <c r="J27" s="18"/>
      <c r="K27" s="26">
        <v>20</v>
      </c>
      <c r="L27" s="18"/>
      <c r="M27" s="18"/>
      <c r="N27" s="18"/>
      <c r="O27" s="18"/>
      <c r="P27" s="18">
        <v>-105</v>
      </c>
      <c r="Q27" s="18"/>
      <c r="R27" s="18">
        <f t="shared" si="0"/>
        <v>20</v>
      </c>
      <c r="T27" s="18">
        <f t="shared" si="1"/>
        <v>20</v>
      </c>
      <c r="U27" s="18"/>
      <c r="AC27" s="18"/>
      <c r="AD27" s="18"/>
      <c r="AE27" s="18"/>
      <c r="AF27" s="18"/>
    </row>
    <row r="28" spans="1:32" x14ac:dyDescent="0.25">
      <c r="A28" s="16" t="s">
        <v>173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>
        <f t="shared" si="0"/>
        <v>0</v>
      </c>
      <c r="T28" s="18"/>
      <c r="U28" s="18"/>
      <c r="AC28" s="18"/>
      <c r="AD28" s="19">
        <v>50</v>
      </c>
      <c r="AE28" s="19">
        <v>50</v>
      </c>
      <c r="AF28" s="23">
        <v>70</v>
      </c>
    </row>
    <row r="29" spans="1:32" x14ac:dyDescent="0.25">
      <c r="A29" s="16" t="s">
        <v>72</v>
      </c>
      <c r="B29" s="18">
        <f>15+5+20-30-20-40-20+40+300</f>
        <v>270</v>
      </c>
      <c r="C29" s="18">
        <f>140-100-40</f>
        <v>0</v>
      </c>
      <c r="D29" s="18">
        <v>40</v>
      </c>
      <c r="E29" s="19"/>
      <c r="F29" s="18"/>
      <c r="G29" s="19"/>
      <c r="H29" s="18"/>
      <c r="I29" s="18"/>
      <c r="J29" s="18"/>
      <c r="K29" s="26">
        <v>20</v>
      </c>
      <c r="L29" s="18"/>
      <c r="M29" s="18"/>
      <c r="N29" s="18"/>
      <c r="O29" s="18">
        <v>40</v>
      </c>
      <c r="P29" s="18"/>
      <c r="Q29" s="18"/>
      <c r="R29" s="18">
        <f t="shared" si="0"/>
        <v>370</v>
      </c>
      <c r="T29" s="18">
        <f t="shared" si="1"/>
        <v>370</v>
      </c>
      <c r="U29" s="18"/>
      <c r="AD29" s="19">
        <v>50</v>
      </c>
      <c r="AE29" s="19">
        <v>50</v>
      </c>
      <c r="AF29" s="23">
        <v>90</v>
      </c>
    </row>
    <row r="30" spans="1:32" x14ac:dyDescent="0.25">
      <c r="A30" s="16" t="s">
        <v>214</v>
      </c>
      <c r="B30" s="18">
        <v>10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>
        <f t="shared" si="0"/>
        <v>10</v>
      </c>
      <c r="T30" s="18"/>
      <c r="U30" s="18"/>
      <c r="AC30" s="18"/>
      <c r="AD30" s="19">
        <v>50</v>
      </c>
      <c r="AE30" s="18"/>
      <c r="AF30" s="18"/>
    </row>
    <row r="31" spans="1:32" x14ac:dyDescent="0.25">
      <c r="A31" s="16" t="s">
        <v>234</v>
      </c>
      <c r="B31" s="18">
        <f>10-10</f>
        <v>0</v>
      </c>
      <c r="C31" s="18"/>
      <c r="D31" s="18">
        <f>20-20</f>
        <v>0</v>
      </c>
      <c r="E31" s="18"/>
      <c r="F31" s="18"/>
      <c r="G31" s="18"/>
      <c r="J31" s="18"/>
      <c r="K31" s="18"/>
      <c r="L31" s="18"/>
      <c r="M31" s="18"/>
      <c r="N31" s="18"/>
      <c r="O31" s="18"/>
      <c r="P31" s="18"/>
      <c r="Q31" s="18"/>
      <c r="R31" s="18">
        <f t="shared" ref="R31" si="2">SUM(B31:Q31)</f>
        <v>0</v>
      </c>
      <c r="T31" s="18"/>
      <c r="U31" s="18"/>
      <c r="AC31" s="19">
        <v>50</v>
      </c>
      <c r="AD31" s="19">
        <v>50</v>
      </c>
      <c r="AE31" s="18"/>
      <c r="AF31" s="23"/>
    </row>
    <row r="32" spans="1:32" x14ac:dyDescent="0.25">
      <c r="A32" s="16" t="s">
        <v>215</v>
      </c>
      <c r="B32" s="18">
        <f>10-10-30-40</f>
        <v>-70</v>
      </c>
      <c r="C32" s="18"/>
      <c r="D32" s="18">
        <f>20-20</f>
        <v>0</v>
      </c>
      <c r="E32" s="19">
        <v>200</v>
      </c>
      <c r="F32" s="18"/>
      <c r="G32" s="19">
        <v>200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>
        <f t="shared" si="0"/>
        <v>330</v>
      </c>
      <c r="T32" s="18"/>
      <c r="U32" s="18"/>
      <c r="AC32" s="19">
        <v>50</v>
      </c>
      <c r="AD32" s="19">
        <v>50</v>
      </c>
      <c r="AE32" s="18"/>
      <c r="AF32" s="23"/>
    </row>
    <row r="33" spans="1:32" x14ac:dyDescent="0.25">
      <c r="A33" s="16" t="s">
        <v>216</v>
      </c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8"/>
      <c r="N33" s="18"/>
      <c r="O33" s="18">
        <v>20</v>
      </c>
      <c r="P33" s="18"/>
      <c r="Q33" s="18"/>
      <c r="R33" s="18">
        <f t="shared" si="0"/>
        <v>20</v>
      </c>
      <c r="T33" s="18">
        <f t="shared" si="1"/>
        <v>20</v>
      </c>
      <c r="U33" s="18"/>
      <c r="AC33" s="18"/>
      <c r="AD33" s="18"/>
      <c r="AE33" s="18"/>
      <c r="AF33" s="18"/>
    </row>
    <row r="34" spans="1:32" x14ac:dyDescent="0.25">
      <c r="A34" s="16" t="s">
        <v>83</v>
      </c>
      <c r="B34" s="18">
        <f>500-100+100-30-40</f>
        <v>430</v>
      </c>
      <c r="C34" s="18"/>
      <c r="D34" s="18">
        <v>20</v>
      </c>
      <c r="E34" s="19"/>
      <c r="F34" s="19">
        <v>400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>
        <f t="shared" si="0"/>
        <v>850</v>
      </c>
      <c r="T34" s="18">
        <f t="shared" si="1"/>
        <v>850</v>
      </c>
      <c r="U34" s="18"/>
      <c r="AD34" s="18"/>
      <c r="AE34" s="18"/>
      <c r="AF34" s="23"/>
    </row>
    <row r="35" spans="1:32" x14ac:dyDescent="0.25">
      <c r="A35" s="16" t="s">
        <v>217</v>
      </c>
      <c r="B35" s="18">
        <v>150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>
        <f t="shared" si="0"/>
        <v>150</v>
      </c>
      <c r="T35" s="18">
        <f>+R35+S35</f>
        <v>150</v>
      </c>
      <c r="U35" s="18"/>
      <c r="AD35" s="18"/>
      <c r="AE35" s="18"/>
      <c r="AF35" s="23">
        <v>40</v>
      </c>
    </row>
    <row r="36" spans="1:32" x14ac:dyDescent="0.25">
      <c r="A36" s="16" t="s">
        <v>143</v>
      </c>
      <c r="B36" s="18">
        <f>5+10</f>
        <v>15</v>
      </c>
      <c r="C36" s="18"/>
      <c r="D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>
        <f t="shared" ref="R36:R55" si="3">SUM(B36:Q36)</f>
        <v>15</v>
      </c>
      <c r="T36" s="18"/>
      <c r="U36" s="18"/>
      <c r="AC36" s="18"/>
      <c r="AD36" s="19">
        <v>50</v>
      </c>
      <c r="AE36" s="19">
        <v>50</v>
      </c>
      <c r="AF36" s="23">
        <v>70</v>
      </c>
    </row>
    <row r="37" spans="1:32" x14ac:dyDescent="0.25">
      <c r="A37" s="16" t="s">
        <v>45</v>
      </c>
      <c r="B37" s="18">
        <v>500</v>
      </c>
      <c r="C37" s="18"/>
      <c r="D37" s="18"/>
      <c r="F37" s="18"/>
      <c r="G37" s="18"/>
      <c r="H37" s="18"/>
      <c r="I37" s="18"/>
      <c r="J37" s="18"/>
      <c r="K37" s="26">
        <v>20</v>
      </c>
      <c r="L37" s="18"/>
      <c r="M37" s="18"/>
      <c r="N37" s="18"/>
      <c r="O37" s="18"/>
      <c r="P37" s="18"/>
      <c r="Q37" s="18"/>
      <c r="R37" s="18">
        <f t="shared" si="3"/>
        <v>520</v>
      </c>
      <c r="T37" s="18">
        <f t="shared" si="1"/>
        <v>520</v>
      </c>
      <c r="U37" s="18"/>
      <c r="AC37" s="19">
        <v>50</v>
      </c>
      <c r="AD37" s="18"/>
      <c r="AE37" s="19">
        <v>50</v>
      </c>
      <c r="AF37" s="18"/>
    </row>
    <row r="38" spans="1:32" x14ac:dyDescent="0.25">
      <c r="A38" s="16" t="s">
        <v>66</v>
      </c>
      <c r="B38" s="18">
        <f>10-10-20-85-20</f>
        <v>-125</v>
      </c>
      <c r="C38" s="18">
        <f>30-30+85</f>
        <v>85</v>
      </c>
      <c r="D38" s="18">
        <f>40-40</f>
        <v>0</v>
      </c>
      <c r="E38" s="19"/>
      <c r="F38" s="18"/>
      <c r="G38" s="19"/>
      <c r="H38" s="18">
        <v>125</v>
      </c>
      <c r="I38" s="18"/>
      <c r="J38" s="18">
        <v>500</v>
      </c>
      <c r="K38" s="26">
        <v>20</v>
      </c>
      <c r="L38" s="18"/>
      <c r="M38" s="18"/>
      <c r="N38" s="18"/>
      <c r="O38" s="18">
        <v>20</v>
      </c>
      <c r="P38" s="18">
        <v>-500</v>
      </c>
      <c r="Q38" s="18"/>
      <c r="R38" s="18">
        <f t="shared" si="3"/>
        <v>125</v>
      </c>
      <c r="T38" s="18">
        <f t="shared" si="1"/>
        <v>125</v>
      </c>
      <c r="U38" s="18"/>
      <c r="AC38" s="18"/>
      <c r="AD38" s="18"/>
      <c r="AE38" s="18"/>
      <c r="AF38" s="18"/>
    </row>
    <row r="39" spans="1:32" x14ac:dyDescent="0.25">
      <c r="A39" s="16" t="s">
        <v>92</v>
      </c>
      <c r="B39" s="18">
        <v>140</v>
      </c>
      <c r="C39" s="18">
        <f>190-50-140</f>
        <v>0</v>
      </c>
      <c r="D39" s="18"/>
      <c r="E39" s="18"/>
      <c r="F39" s="19"/>
      <c r="H39" s="18"/>
      <c r="I39" s="18"/>
      <c r="J39" s="18"/>
      <c r="K39" s="26">
        <v>20</v>
      </c>
      <c r="L39" s="18"/>
      <c r="M39" s="18"/>
      <c r="N39" s="18"/>
      <c r="O39" s="18"/>
      <c r="P39" s="18">
        <v>-140</v>
      </c>
      <c r="Q39" s="18"/>
      <c r="R39" s="18">
        <f t="shared" si="3"/>
        <v>20</v>
      </c>
      <c r="T39" s="18">
        <f t="shared" si="1"/>
        <v>20</v>
      </c>
      <c r="U39" s="18"/>
      <c r="AC39" s="18"/>
      <c r="AD39" s="18"/>
      <c r="AE39" s="18"/>
      <c r="AF39" s="18"/>
    </row>
    <row r="40" spans="1:32" ht="16.5" customHeight="1" x14ac:dyDescent="0.25">
      <c r="A40" s="16" t="s">
        <v>218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>
        <f t="shared" si="3"/>
        <v>0</v>
      </c>
      <c r="T40" s="18">
        <f t="shared" si="1"/>
        <v>0</v>
      </c>
      <c r="U40" s="18"/>
      <c r="AC40" s="19">
        <v>50</v>
      </c>
      <c r="AD40" s="19">
        <v>50</v>
      </c>
      <c r="AE40" s="18"/>
      <c r="AF40" s="23">
        <v>50</v>
      </c>
    </row>
    <row r="41" spans="1:32" x14ac:dyDescent="0.25">
      <c r="A41" s="16" t="s">
        <v>219</v>
      </c>
      <c r="B41" s="18">
        <f>210+20-20-20</f>
        <v>190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>
        <f>20+20</f>
        <v>40</v>
      </c>
      <c r="P41" s="18"/>
      <c r="Q41" s="18"/>
      <c r="R41" s="18">
        <f t="shared" si="3"/>
        <v>230</v>
      </c>
      <c r="T41" s="18"/>
      <c r="U41" s="18"/>
      <c r="AC41" s="19"/>
      <c r="AD41" s="19"/>
      <c r="AE41" s="18"/>
      <c r="AF41" s="23"/>
    </row>
    <row r="42" spans="1:32" x14ac:dyDescent="0.25">
      <c r="A42" s="16" t="s">
        <v>128</v>
      </c>
      <c r="B42" s="18">
        <f>10-10</f>
        <v>0</v>
      </c>
      <c r="C42" s="18"/>
      <c r="D42" s="18"/>
      <c r="E42" s="19"/>
      <c r="F42" s="19"/>
      <c r="G42" s="18"/>
      <c r="H42" s="18"/>
      <c r="I42" s="18"/>
      <c r="J42" s="18"/>
      <c r="K42" s="18"/>
      <c r="L42" s="18"/>
      <c r="M42" s="18">
        <v>20</v>
      </c>
      <c r="N42" s="18">
        <v>60</v>
      </c>
      <c r="O42" s="18">
        <v>40</v>
      </c>
      <c r="P42" s="18"/>
      <c r="Q42" s="18"/>
      <c r="R42" s="18">
        <f t="shared" si="3"/>
        <v>120</v>
      </c>
      <c r="T42" s="18">
        <f t="shared" si="1"/>
        <v>120</v>
      </c>
      <c r="U42" s="18"/>
      <c r="AC42" s="19">
        <v>50</v>
      </c>
      <c r="AD42" s="19">
        <v>50</v>
      </c>
      <c r="AE42" s="18"/>
      <c r="AF42" s="23">
        <v>10</v>
      </c>
    </row>
    <row r="43" spans="1:32" x14ac:dyDescent="0.25">
      <c r="A43" s="16" t="s">
        <v>169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>
        <f t="shared" si="3"/>
        <v>0</v>
      </c>
      <c r="T43" s="18"/>
      <c r="U43" s="18"/>
      <c r="AC43" s="18"/>
      <c r="AD43" s="18"/>
      <c r="AE43" s="18"/>
      <c r="AF43" s="18"/>
    </row>
    <row r="44" spans="1:32" x14ac:dyDescent="0.25">
      <c r="A44" s="16" t="s">
        <v>159</v>
      </c>
      <c r="B44" s="18">
        <f>20+300-100-30-40-40-20-30-85-20+250</f>
        <v>205</v>
      </c>
      <c r="C44" s="18">
        <v>85</v>
      </c>
      <c r="D44" s="18">
        <v>10</v>
      </c>
      <c r="E44" s="19">
        <v>50</v>
      </c>
      <c r="F44" s="19"/>
      <c r="G44" s="18"/>
      <c r="H44" s="18"/>
      <c r="I44" s="18"/>
      <c r="J44" s="18"/>
      <c r="K44" s="26">
        <v>20</v>
      </c>
      <c r="L44" s="18"/>
      <c r="M44" s="18"/>
      <c r="N44" s="18"/>
      <c r="O44" s="18">
        <v>20</v>
      </c>
      <c r="P44" s="18">
        <f>-65+140-47-40+5+500-385+105-10+74</f>
        <v>277</v>
      </c>
      <c r="Q44" s="18"/>
      <c r="R44" s="18">
        <f t="shared" si="3"/>
        <v>667</v>
      </c>
      <c r="T44" s="18">
        <f t="shared" si="1"/>
        <v>667</v>
      </c>
      <c r="U44" s="18"/>
      <c r="V44" s="18"/>
      <c r="AC44" s="19">
        <v>50</v>
      </c>
      <c r="AD44" s="18"/>
      <c r="AE44" s="19">
        <v>50</v>
      </c>
      <c r="AF44" s="23">
        <v>100</v>
      </c>
    </row>
    <row r="45" spans="1:32" x14ac:dyDescent="0.25">
      <c r="A45" s="16" t="s">
        <v>156</v>
      </c>
      <c r="B45" s="18">
        <v>20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>
        <f t="shared" si="3"/>
        <v>20</v>
      </c>
      <c r="T45" s="18">
        <f t="shared" si="1"/>
        <v>20</v>
      </c>
      <c r="U45" s="18"/>
      <c r="AC45" s="19">
        <v>50</v>
      </c>
      <c r="AD45" s="18"/>
      <c r="AE45" s="19">
        <v>50</v>
      </c>
      <c r="AF45" s="23">
        <v>10</v>
      </c>
    </row>
    <row r="46" spans="1:32" x14ac:dyDescent="0.25">
      <c r="A46" s="16" t="s">
        <v>220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>
        <f t="shared" si="3"/>
        <v>0</v>
      </c>
      <c r="T46" s="18">
        <f>+R46+S46</f>
        <v>0</v>
      </c>
      <c r="U46" s="18"/>
      <c r="AC46" s="19"/>
      <c r="AD46" s="18"/>
      <c r="AE46" s="19"/>
      <c r="AF46" s="23"/>
    </row>
    <row r="47" spans="1:32" x14ac:dyDescent="0.25">
      <c r="A47" s="16" t="s">
        <v>221</v>
      </c>
      <c r="B47" s="18">
        <f>20-20</f>
        <v>0</v>
      </c>
      <c r="C47" s="18">
        <f>30-30</f>
        <v>0</v>
      </c>
      <c r="D47" s="18">
        <f>20-20</f>
        <v>0</v>
      </c>
      <c r="E47" s="18"/>
      <c r="F47" s="19"/>
      <c r="G47" s="19"/>
      <c r="H47" s="18"/>
      <c r="I47" s="18"/>
      <c r="J47" s="18"/>
      <c r="K47" s="26">
        <v>20</v>
      </c>
      <c r="L47" s="18"/>
      <c r="M47" s="18"/>
      <c r="N47" s="18"/>
      <c r="O47" s="18">
        <v>20</v>
      </c>
      <c r="P47" s="18"/>
      <c r="Q47" s="18"/>
      <c r="R47" s="18">
        <f t="shared" si="3"/>
        <v>40</v>
      </c>
      <c r="T47" s="18">
        <f t="shared" si="1"/>
        <v>40</v>
      </c>
      <c r="U47" s="18"/>
      <c r="AC47" s="19"/>
      <c r="AD47" s="18"/>
      <c r="AE47" s="19"/>
      <c r="AF47" s="23"/>
    </row>
    <row r="48" spans="1:32" x14ac:dyDescent="0.25">
      <c r="A48" s="16" t="s">
        <v>117</v>
      </c>
      <c r="B48" s="18">
        <f>10-10</f>
        <v>0</v>
      </c>
      <c r="C48" s="18"/>
      <c r="D48" s="18">
        <f>80-50-30</f>
        <v>0</v>
      </c>
      <c r="E48" s="18"/>
      <c r="G48" s="19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>
        <f t="shared" si="3"/>
        <v>0</v>
      </c>
      <c r="T48" s="18">
        <f t="shared" si="1"/>
        <v>0</v>
      </c>
      <c r="U48" s="18"/>
      <c r="AC48" s="18"/>
      <c r="AD48" s="18"/>
      <c r="AE48" s="18"/>
      <c r="AF48" s="18"/>
    </row>
    <row r="49" spans="1:32" x14ac:dyDescent="0.25">
      <c r="A49" s="16" t="s">
        <v>222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>
        <f t="shared" si="3"/>
        <v>0</v>
      </c>
      <c r="T49" s="18"/>
      <c r="U49" s="18"/>
      <c r="AC49" s="18"/>
      <c r="AD49" s="18"/>
      <c r="AE49" s="18"/>
      <c r="AF49" s="18"/>
    </row>
    <row r="50" spans="1:32" x14ac:dyDescent="0.25">
      <c r="A50" s="16" t="s">
        <v>223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>
        <f t="shared" si="3"/>
        <v>0</v>
      </c>
      <c r="T50" s="18"/>
      <c r="U50" s="18"/>
      <c r="AC50" s="18"/>
      <c r="AD50" s="18"/>
      <c r="AE50" s="19">
        <v>50</v>
      </c>
      <c r="AF50" s="23">
        <v>10</v>
      </c>
    </row>
    <row r="51" spans="1:32" x14ac:dyDescent="0.25">
      <c r="A51" s="16" t="s">
        <v>224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>
        <f t="shared" si="3"/>
        <v>0</v>
      </c>
      <c r="T51" s="18">
        <f>+R51+S51</f>
        <v>0</v>
      </c>
      <c r="U51" s="18"/>
      <c r="AC51" s="18"/>
      <c r="AD51" s="18"/>
      <c r="AE51" s="18"/>
      <c r="AF51" s="18"/>
    </row>
    <row r="52" spans="1:32" x14ac:dyDescent="0.25">
      <c r="A52" s="16" t="s">
        <v>51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>
        <f t="shared" si="3"/>
        <v>0</v>
      </c>
      <c r="T52" s="18"/>
      <c r="U52" s="18"/>
      <c r="AC52" s="21">
        <v>50</v>
      </c>
      <c r="AD52" s="20"/>
      <c r="AE52" s="20"/>
      <c r="AF52" s="20"/>
    </row>
    <row r="53" spans="1:32" x14ac:dyDescent="0.25">
      <c r="A53" s="16" t="s">
        <v>73</v>
      </c>
      <c r="B53" s="18">
        <f>5+500-85+10-30-40-20+30-85-60</f>
        <v>225</v>
      </c>
      <c r="C53" s="18">
        <f>30-30+85</f>
        <v>85</v>
      </c>
      <c r="D53" s="18">
        <v>70</v>
      </c>
      <c r="E53" s="18"/>
      <c r="F53" s="18"/>
      <c r="G53" s="18"/>
      <c r="H53" s="18">
        <v>250</v>
      </c>
      <c r="I53" s="18"/>
      <c r="J53" s="18"/>
      <c r="K53" s="26">
        <v>20</v>
      </c>
      <c r="L53" s="18"/>
      <c r="M53" s="18"/>
      <c r="N53" s="18">
        <v>60</v>
      </c>
      <c r="O53" s="18"/>
      <c r="P53" s="18"/>
      <c r="Q53" s="18"/>
      <c r="R53" s="18">
        <f t="shared" si="3"/>
        <v>710</v>
      </c>
      <c r="T53" s="18">
        <f t="shared" si="1"/>
        <v>710</v>
      </c>
      <c r="U53" s="18"/>
      <c r="V53" s="18"/>
      <c r="AC53" s="18">
        <f>SUM(AC3:AC52)</f>
        <v>750</v>
      </c>
      <c r="AD53" s="18">
        <f>SUM(AD3:AD52)</f>
        <v>750</v>
      </c>
      <c r="AE53" s="18">
        <f>SUM(AE3:AE52)</f>
        <v>700</v>
      </c>
      <c r="AF53" s="18">
        <f>SUM(AF3:AF52)</f>
        <v>1410</v>
      </c>
    </row>
    <row r="54" spans="1:32" x14ac:dyDescent="0.25">
      <c r="A54" s="16" t="s">
        <v>225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>
        <f t="shared" si="3"/>
        <v>0</v>
      </c>
      <c r="T54" s="18">
        <f>+R54+S54</f>
        <v>0</v>
      </c>
      <c r="U54" s="18"/>
      <c r="V54" s="18"/>
      <c r="AC54" s="18"/>
      <c r="AD54" s="18"/>
      <c r="AE54" s="18"/>
      <c r="AF54" s="18"/>
    </row>
    <row r="55" spans="1:32" x14ac:dyDescent="0.25">
      <c r="A55" s="16" t="s">
        <v>226</v>
      </c>
      <c r="B55" s="20">
        <f>125+20-100-40</f>
        <v>5</v>
      </c>
      <c r="C55" s="20"/>
      <c r="D55" s="20">
        <v>10</v>
      </c>
      <c r="E55" s="20"/>
      <c r="F55" s="21"/>
      <c r="G55" s="21"/>
      <c r="H55" s="20"/>
      <c r="I55" s="20"/>
      <c r="J55" s="20"/>
      <c r="K55" s="27">
        <v>20</v>
      </c>
      <c r="L55" s="20"/>
      <c r="M55" s="20"/>
      <c r="N55" s="20"/>
      <c r="O55" s="20"/>
      <c r="P55" s="20"/>
      <c r="Q55" s="20"/>
      <c r="R55" s="20">
        <f t="shared" si="3"/>
        <v>35</v>
      </c>
      <c r="S55" s="24"/>
      <c r="T55" s="20">
        <f t="shared" si="1"/>
        <v>35</v>
      </c>
      <c r="U55" s="18"/>
      <c r="AC55" s="18"/>
      <c r="AD55" s="18"/>
      <c r="AE55" s="18"/>
      <c r="AF55" s="18"/>
    </row>
    <row r="56" spans="1:32" x14ac:dyDescent="0.25">
      <c r="B56" s="18">
        <f t="shared" ref="B56:T56" si="4">SUM(B3:B55)</f>
        <v>2670</v>
      </c>
      <c r="C56" s="18">
        <f t="shared" si="4"/>
        <v>510</v>
      </c>
      <c r="D56" s="18">
        <f t="shared" si="4"/>
        <v>420</v>
      </c>
      <c r="E56" s="18">
        <f t="shared" si="4"/>
        <v>700</v>
      </c>
      <c r="F56" s="18">
        <f t="shared" si="4"/>
        <v>700</v>
      </c>
      <c r="G56" s="18">
        <f t="shared" si="4"/>
        <v>700</v>
      </c>
      <c r="H56" s="18">
        <f t="shared" si="4"/>
        <v>1000</v>
      </c>
      <c r="I56" s="18">
        <f t="shared" si="4"/>
        <v>750</v>
      </c>
      <c r="J56" s="18">
        <f t="shared" si="4"/>
        <v>500</v>
      </c>
      <c r="K56" s="18">
        <f t="shared" si="4"/>
        <v>320</v>
      </c>
      <c r="L56" s="18">
        <f t="shared" si="4"/>
        <v>0</v>
      </c>
      <c r="M56" s="18">
        <f t="shared" si="4"/>
        <v>20</v>
      </c>
      <c r="N56" s="18">
        <f t="shared" si="4"/>
        <v>120</v>
      </c>
      <c r="O56" s="18">
        <f t="shared" si="4"/>
        <v>380</v>
      </c>
      <c r="P56" s="18">
        <f t="shared" si="4"/>
        <v>0</v>
      </c>
      <c r="Q56" s="18">
        <f t="shared" si="4"/>
        <v>-97</v>
      </c>
      <c r="R56" s="18">
        <f t="shared" si="4"/>
        <v>8693</v>
      </c>
      <c r="S56" s="18">
        <f t="shared" si="4"/>
        <v>0</v>
      </c>
      <c r="T56" s="18">
        <f t="shared" si="4"/>
        <v>7303</v>
      </c>
      <c r="U56" s="18"/>
      <c r="V56" s="18"/>
      <c r="AC56" s="18"/>
      <c r="AD56" s="18"/>
      <c r="AE56" s="18"/>
      <c r="AF56" s="18"/>
    </row>
    <row r="57" spans="1:32" x14ac:dyDescent="0.2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AC57" s="18"/>
      <c r="AD57" s="18"/>
      <c r="AE57" s="18"/>
      <c r="AF57" s="18"/>
    </row>
    <row r="58" spans="1:32" x14ac:dyDescent="0.25">
      <c r="A58" s="16" t="s">
        <v>227</v>
      </c>
      <c r="B58" s="18">
        <f>-505+50+50</f>
        <v>-405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>
        <f>SUM(B58:Q58)</f>
        <v>-405</v>
      </c>
      <c r="AC58" s="18"/>
      <c r="AD58" s="18"/>
      <c r="AE58" s="18"/>
      <c r="AF58" s="18"/>
    </row>
    <row r="59" spans="1:32" x14ac:dyDescent="0.25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AC59" s="18"/>
      <c r="AD59" s="18"/>
      <c r="AE59" s="18"/>
      <c r="AF59" s="18"/>
    </row>
    <row r="60" spans="1:32" x14ac:dyDescent="0.25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AC60" s="18"/>
      <c r="AD60" s="18"/>
      <c r="AE60" s="18"/>
      <c r="AF60" s="18"/>
    </row>
    <row r="61" spans="1:32" x14ac:dyDescent="0.25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AC61" s="18"/>
      <c r="AD61" s="18"/>
      <c r="AE61" s="18"/>
      <c r="AF61" s="18"/>
    </row>
    <row r="62" spans="1:32" x14ac:dyDescent="0.25">
      <c r="A62" s="16" t="s">
        <v>213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AC62" s="18"/>
      <c r="AD62" s="18"/>
      <c r="AE62" s="18"/>
      <c r="AF62" s="18"/>
    </row>
    <row r="63" spans="1:32" x14ac:dyDescent="0.25">
      <c r="A63" s="16" t="s">
        <v>228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AC63" s="18"/>
      <c r="AD63" s="18"/>
      <c r="AE63" s="18"/>
      <c r="AF63" s="18"/>
    </row>
    <row r="64" spans="1:32" x14ac:dyDescent="0.25">
      <c r="A64" s="16" t="s">
        <v>229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6" t="s">
        <v>230</v>
      </c>
      <c r="AC64" s="18"/>
      <c r="AD64" s="18"/>
      <c r="AE64" s="18"/>
    </row>
    <row r="65" spans="2:31" x14ac:dyDescent="0.2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6" t="s">
        <v>231</v>
      </c>
      <c r="AC65" s="18"/>
      <c r="AD65" s="18"/>
      <c r="AE65" s="18"/>
    </row>
    <row r="66" spans="2:31" x14ac:dyDescent="0.2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>
        <f>SUM(R56:R65)</f>
        <v>8288</v>
      </c>
      <c r="U66" s="25"/>
      <c r="AC66" s="18">
        <f>700-AC64-AC65-AC67-AC68</f>
        <v>700</v>
      </c>
      <c r="AD66" s="18">
        <f>700-AD64-AD65-AD67-AD68</f>
        <v>700</v>
      </c>
      <c r="AE66" s="18">
        <f>700-AE64-AE65-AE67-AE68</f>
        <v>700</v>
      </c>
    </row>
    <row r="67" spans="2:31" x14ac:dyDescent="0.25">
      <c r="E67" s="18"/>
      <c r="F67" s="18"/>
      <c r="G67" s="18"/>
      <c r="H67" s="18"/>
      <c r="I67" s="18"/>
      <c r="J67" s="18"/>
      <c r="K67" s="18"/>
      <c r="O67" s="18"/>
      <c r="AC67" s="18">
        <v>0</v>
      </c>
      <c r="AD67" s="18">
        <v>0</v>
      </c>
      <c r="AE67" s="18">
        <v>0</v>
      </c>
    </row>
    <row r="68" spans="2:31" x14ac:dyDescent="0.25">
      <c r="E68" s="18"/>
      <c r="F68" s="18"/>
      <c r="G68" s="18"/>
      <c r="H68" s="18"/>
      <c r="I68" s="18"/>
      <c r="J68" s="18"/>
      <c r="K68" s="18"/>
      <c r="O68" s="18"/>
      <c r="R68" s="18">
        <f>860+1350+120+40</f>
        <v>2370</v>
      </c>
      <c r="U68" s="16" t="s">
        <v>232</v>
      </c>
      <c r="AC68" s="18"/>
      <c r="AD68" s="18"/>
      <c r="AE68" s="18"/>
    </row>
    <row r="69" spans="2:31" x14ac:dyDescent="0.25">
      <c r="E69" s="18"/>
      <c r="F69" s="18"/>
      <c r="G69" s="18"/>
      <c r="H69" s="18"/>
      <c r="I69" s="18"/>
      <c r="J69" s="18"/>
      <c r="K69" s="18"/>
      <c r="O69" s="18"/>
      <c r="AC69" s="18"/>
      <c r="AD69" s="18"/>
      <c r="AE69" s="18"/>
    </row>
    <row r="70" spans="2:31" x14ac:dyDescent="0.25">
      <c r="E70" s="18"/>
      <c r="F70" s="18"/>
      <c r="G70" s="18"/>
      <c r="H70" s="18"/>
      <c r="I70" s="18"/>
      <c r="J70" s="18"/>
      <c r="K70" s="18"/>
      <c r="O70" s="18"/>
      <c r="R70" s="18">
        <f>+R66-R68</f>
        <v>5918</v>
      </c>
      <c r="U70" s="25">
        <v>46104</v>
      </c>
      <c r="AC70" s="18"/>
      <c r="AD70" s="18"/>
      <c r="AE70" s="18"/>
    </row>
    <row r="71" spans="2:31" x14ac:dyDescent="0.25">
      <c r="E71" s="18"/>
      <c r="F71" s="18"/>
      <c r="G71" s="18"/>
      <c r="H71" s="18"/>
      <c r="I71" s="18"/>
      <c r="J71" s="18"/>
      <c r="K71" s="18"/>
      <c r="O71" s="18"/>
      <c r="R71" s="18"/>
      <c r="U71" s="25"/>
    </row>
    <row r="72" spans="2:31" x14ac:dyDescent="0.25">
      <c r="E72" s="18"/>
      <c r="F72" s="18"/>
      <c r="G72" s="18"/>
      <c r="H72" s="18"/>
      <c r="I72" s="18"/>
      <c r="J72" s="18"/>
      <c r="O72" s="18"/>
    </row>
    <row r="73" spans="2:31" x14ac:dyDescent="0.25">
      <c r="E73" s="18"/>
      <c r="F73" s="18"/>
      <c r="G73" s="18"/>
      <c r="H73" s="18"/>
      <c r="I73" s="18"/>
      <c r="J73" s="18"/>
      <c r="O73" s="18"/>
      <c r="AC73" s="18"/>
      <c r="AD73" s="18"/>
      <c r="AE73" s="18"/>
    </row>
    <row r="74" spans="2:31" x14ac:dyDescent="0.25">
      <c r="R74" s="18"/>
    </row>
    <row r="75" spans="2:31" x14ac:dyDescent="0.25">
      <c r="R75" s="18"/>
    </row>
    <row r="76" spans="2:31" x14ac:dyDescent="0.25">
      <c r="E76" s="18"/>
      <c r="F76" s="18"/>
      <c r="G76" s="18"/>
      <c r="H76" s="18"/>
      <c r="I76" s="18"/>
      <c r="J76" s="18"/>
    </row>
  </sheetData>
  <pageMargins left="0.75" right="0.75" top="1" bottom="1" header="0.5" footer="0.5"/>
  <pageSetup orientation="portrait" horizontalDpi="4294967293" verticalDpi="300" r:id="rId1"/>
  <headerFooter alignWithMargins="0">
    <oddHeader>&amp;L&amp;"Times New Roman,Bold"GVI Budget</oddHeader>
  </headerFooter>
  <ignoredErrors>
    <ignoredError sqref="C47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Mailing list</vt:lpstr>
      <vt:lpstr>Options</vt:lpstr>
      <vt:lpstr>venmo</vt:lpstr>
      <vt:lpstr>GFFL</vt:lpstr>
      <vt:lpstr>moonshine</vt:lpstr>
      <vt:lpstr>balances</vt:lpstr>
      <vt:lpstr>Contacts</vt:lpstr>
      <vt:lpstr>'Mailing list'!Print_Area</vt:lpstr>
      <vt:lpstr>Options!Print_Area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pc</dc:creator>
  <cp:lastModifiedBy>M Long</cp:lastModifiedBy>
  <cp:lastPrinted>2024-09-10T12:37:29Z</cp:lastPrinted>
  <dcterms:created xsi:type="dcterms:W3CDTF">2001-05-15T13:32:12Z</dcterms:created>
  <dcterms:modified xsi:type="dcterms:W3CDTF">2026-04-03T16:43:38Z</dcterms:modified>
</cp:coreProperties>
</file>